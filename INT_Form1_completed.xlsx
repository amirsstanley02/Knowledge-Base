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Part A" sheetId="2" state="visible" r:id="rId2"/>
    <sheet name="Part B" sheetId="3" state="visible" r:id="rId3"/>
    <sheet name="Case Exhibits" sheetId="4" state="visible" r:id="rId4"/>
    <sheet name="Data Pack" sheetId="5" state="visible" r:id="rId5"/>
    <sheet name="Work 1" sheetId="6" state="visible" r:id="rId6"/>
    <sheet name="Work 2" sheetId="7" state="visible" r:id="rId7"/>
    <sheet name="Work 3" sheetId="8" state="visible" r:id="rId8"/>
    <sheet name="Work 4" sheetId="9" state="visible" r:id="rId9"/>
    <sheet name="Work 5" sheetId="10" state="visible" r:id="rId10"/>
    <sheet name="Work 6" sheetId="11" state="visible" r:id="rId11"/>
    <sheet name="Work 7" sheetId="12" state="visible" r:id="rId12"/>
    <sheet name="Synthesis" sheetId="13" state="visible" r:id="rId13"/>
    <sheet name="Self-Check" sheetId="14" state="visible" r:id="rId14"/>
  </sheets>
  <definedNames>
    <definedName name="Q_53">'Work 3'!$C$9</definedName>
    <definedName name="Q_08">'Part A'!$C$12</definedName>
    <definedName name="SYN_1">Synthesis!$C$5</definedName>
    <definedName name="SYN_3">Synthesis!$C$7</definedName>
    <definedName name="Q_04">'Part A'!$C$8</definedName>
    <definedName name="Q_16">'Part A'!$C$20</definedName>
    <definedName name="EXP_5">'Work 2'!$E$10</definedName>
    <definedName name="Q_88">'Work 7'!$D$44</definedName>
    <definedName name="Q_05">'Part A'!$C$9</definedName>
    <definedName name="Q_64">'Work 3'!$C$20</definedName>
    <definedName name="Q_23">'Part B'!$C$7</definedName>
    <definedName name="Q_86">'Work 6'!$C$9</definedName>
    <definedName name="Q_55">'Work 3'!$C$11</definedName>
    <definedName name="Q_95">'Work 7'!$D$51</definedName>
    <definedName name="Q_07">'Part A'!$C$11</definedName>
    <definedName name="Q_49">'Work 3'!$C$5</definedName>
    <definedName name="Q_79">'Work 5'!$C$6</definedName>
    <definedName name="Q_34">'Work 1'!$C$14</definedName>
    <definedName name="Q_02">'Part A'!$C$6</definedName>
    <definedName name="SYN_2">Synthesis!$C$6</definedName>
    <definedName name="Q_72">'Work 4'!$C$12</definedName>
    <definedName name="Q_61">'Work 3'!$C$17</definedName>
    <definedName name="Q_35">'Work 1'!$C$15</definedName>
    <definedName name="Q_18">'Part A'!$C$22</definedName>
    <definedName name="Q_89">'Work 7'!$D$45</definedName>
    <definedName name="Q_80">'Work 5'!$C$7</definedName>
    <definedName name="Q_99">'Work 7'!$D$55</definedName>
    <definedName name="Q_92">'Work 7'!$D$48</definedName>
    <definedName name="EXP_2">'Work 2'!$E$7</definedName>
    <definedName name="Q_42">'Work 2'!$C$7</definedName>
    <definedName name="Q_30">'Part B'!$C$14</definedName>
    <definedName name="FIX_L1">'Work 7'!$E$44</definedName>
    <definedName name="Q_58">'Work 3'!$C$14</definedName>
    <definedName name="Q_15">'Part A'!$C$19</definedName>
    <definedName name="Q_60">'Work 3'!$C$16</definedName>
    <definedName name="Q_43">'Work 2'!$C$8</definedName>
    <definedName name="FIX_L11">'Work 7'!$E$54</definedName>
    <definedName name="Q_62">'Work 3'!$C$18</definedName>
    <definedName name="Q_31">'Work 1'!$C$11</definedName>
    <definedName name="Q_12">'Part A'!$C$16</definedName>
    <definedName name="Q_85">'Work 6'!$C$8</definedName>
    <definedName name="Q_13">'Part A'!$C$17</definedName>
    <definedName name="Q_45">'Work 2'!$C$10</definedName>
    <definedName name="FIX_L4">'Work 7'!$E$47</definedName>
    <definedName name="Q_29">'Part B'!$C$13</definedName>
    <definedName name="Q_91">'Work 7'!$D$47</definedName>
    <definedName name="FIX_L8">'Work 7'!$E$51</definedName>
    <definedName name="FIX_L3">'Work 7'!$E$46</definedName>
    <definedName name="Q_56">'Work 3'!$C$12</definedName>
    <definedName name="Q_75">'Work 4'!$C$15</definedName>
    <definedName name="FIX_L5">'Work 7'!$E$48</definedName>
    <definedName name="Q_25">'Part B'!$C$9</definedName>
    <definedName name="Q_76">'Work 4'!$C$16</definedName>
    <definedName name="Q_97">'Work 7'!$D$53</definedName>
    <definedName name="Q_71">'Work 4'!$C$11</definedName>
    <definedName name="Q_68">'Work 4'!$C$8</definedName>
    <definedName name="Q_81">'Work 5'!$C$8</definedName>
    <definedName name="Q_93">'Work 7'!$D$49</definedName>
    <definedName name="Q_36">'Work 1'!$C$16</definedName>
    <definedName name="Q_06">'Part A'!$C$10</definedName>
    <definedName name="Q_21">'Part B'!$C$5</definedName>
    <definedName name="Q_39">'Work 1'!$C$19</definedName>
    <definedName name="Q_67">'Work 4'!$C$7</definedName>
    <definedName name="Q_48">'Work 2'!$D$13</definedName>
    <definedName name="Q_73">'Work 4'!$C$13</definedName>
    <definedName name="Q_82">'Work 6'!$C$5</definedName>
    <definedName name="Q_32">'Work 1'!$C$12</definedName>
    <definedName name="Q_66">'Work 4'!$C$6</definedName>
    <definedName name="Q_65">'Work 4'!$C$5</definedName>
    <definedName name="Q_54">'Work 3'!$C$10</definedName>
    <definedName name="EXP_4">'Work 2'!$E$9</definedName>
    <definedName name="Q_26">'Part B'!$C$10</definedName>
    <definedName name="Q_90">'Work 7'!$D$46</definedName>
    <definedName name="Q_70">'Work 4'!$C$10</definedName>
    <definedName name="SYN_5">Synthesis!$C$9</definedName>
    <definedName name="SYN_4">Synthesis!$C$8</definedName>
    <definedName name="Q_51">'Work 3'!$C$7</definedName>
    <definedName name="FIX_L7">'Work 7'!$E$50</definedName>
    <definedName name="Q_09">'Part A'!$C$13</definedName>
    <definedName name="Q_52">'Work 3'!$C$8</definedName>
    <definedName name="Q_46">'Work 2'!$C$11</definedName>
    <definedName name="EXP_6">'Work 2'!$E$11</definedName>
    <definedName name="Q_03">'Part A'!$C$7</definedName>
    <definedName name="FIX_L12">'Work 7'!$E$55</definedName>
    <definedName name="Q_28">'Part B'!$C$12</definedName>
    <definedName name="Q_96">'Work 7'!$D$52</definedName>
    <definedName name="Q_84">'Work 6'!$C$7</definedName>
    <definedName name="Q_94">'Work 7'!$D$50</definedName>
    <definedName name="FIX_L6">'Work 7'!$E$49</definedName>
    <definedName name="Q_37">'Work 1'!$C$17</definedName>
    <definedName name="Q_38">'Work 1'!$C$18</definedName>
    <definedName name="FIX_L10">'Work 7'!$E$53</definedName>
    <definedName name="EXP_3">'Work 2'!$E$8</definedName>
    <definedName name="Q_24">'Part B'!$C$8</definedName>
    <definedName name="Q_78">'Work 5'!$C$5</definedName>
    <definedName name="Q_50">'Work 3'!$C$6</definedName>
    <definedName name="EXP_7">'Work 2'!$E$12</definedName>
    <definedName name="Q_20">'Part A'!$C$24</definedName>
    <definedName name="Q_33">'Work 1'!$C$13</definedName>
    <definedName name="FIX_L9">'Work 7'!$E$52</definedName>
    <definedName name="Q_87">'Work 6'!$C$10</definedName>
    <definedName name="FELLOW_COHORT">'Read Me'!$B$5</definedName>
    <definedName name="FELLOW_NAME">'Read Me'!$B$4</definedName>
    <definedName name="FIX_L2">'Work 7'!$E$45</definedName>
    <definedName name="Q_98">'Work 7'!$D$54</definedName>
    <definedName name="Q_77">'Work 4'!$C$17</definedName>
    <definedName name="Q_69">'Work 4'!$C$9</definedName>
    <definedName name="Q_01">'Part A'!$C$5</definedName>
    <definedName name="Q_11">'Part A'!$C$15</definedName>
    <definedName name="Q_22">'Part B'!$C$6</definedName>
    <definedName name="Q_10">'Part A'!$C$14</definedName>
    <definedName name="Q_83">'Work 6'!$C$6</definedName>
    <definedName name="Q_63">'Work 3'!$C$19</definedName>
    <definedName name="Q_74">'Work 4'!$C$14</definedName>
    <definedName name="Q_47">'Work 2'!$C$12</definedName>
    <definedName name="EXP_1">'Work 2'!$E$6</definedName>
    <definedName name="Q_27">'Part B'!$C$11</definedName>
    <definedName name="Q_14">'Part A'!$C$18</definedName>
    <definedName name="Q_57">'Work 3'!$C$13</definedName>
    <definedName name="FORM">'Read Me'!$Z$1</definedName>
    <definedName name="Q_17">'Part A'!$C$21</definedName>
    <definedName name="Q_40">'Work 1'!$C$20</definedName>
    <definedName name="Q_41">'Work 2'!$C$6</definedName>
    <definedName name="Q_44">'Work 2'!$C$9</definedName>
    <definedName name="Q_59">'Work 3'!$C$15</definedName>
    <definedName name="Q_19">'Part A'!$C$23</definedName>
    <definedName name="_xlnm._FilterDatabase" localSheetId="4" hidden="1">'Data Pack'!$A$4:$J$1014</definedName>
  </definedNames>
  <calcPr calcId="124519" fullCalcOnLoad="1" iterate="1" iterateCount="100" iterateDelta="0.0001"/>
</workbook>
</file>

<file path=xl/styles.xml><?xml version="1.0" encoding="utf-8"?>
<styleSheet xmlns="http://schemas.openxmlformats.org/spreadsheetml/2006/main">
  <numFmts count="9">
    <numFmt numFmtId="164" formatCode="#,##0.0;\(#,##0.0\);&quot;-&quot;"/>
    <numFmt numFmtId="165" formatCode="0.0%;\(0.0%\)"/>
    <numFmt numFmtId="166" formatCode="#,##0.00;\(#,##0.00\);&quot;-&quot;"/>
    <numFmt numFmtId="167" formatCode="0.00&quot;x&quot;"/>
    <numFmt numFmtId="168" formatCode="0.0&quot;x&quot;"/>
    <numFmt numFmtId="169" formatCode="#,##0;\(#,##0\)"/>
    <numFmt numFmtId="170" formatCode="#,##0.00;\(#,##0.00\)"/>
    <numFmt numFmtId="171" formatCode="#,##0;\(#,##0\);&quot;-&quot;"/>
    <numFmt numFmtId="172" formatCode="0.0%"/>
  </numFmts>
  <fonts count="10">
    <font>
      <name val="Calibri"/>
      <color theme="1"/>
      <sz val="11"/>
      <scheme val="minor"/>
    </font>
    <font>
      <name val="Arial"/>
      <b val="1"/>
      <color rgb="FF2D273F"/>
      <sz val="14"/>
    </font>
    <font>
      <name val="Calibri"/>
      <color theme="1"/>
      <sz val="11"/>
    </font>
    <font>
      <name val="Calibri"/>
      <color theme="1"/>
      <scheme val="minor"/>
    </font>
    <font>
      <name val="Arial"/>
      <i val="1"/>
      <color rgb="FF615D72"/>
      <sz val="10"/>
    </font>
    <font>
      <name val="Arial"/>
      <b val="1"/>
      <color theme="1"/>
      <sz val="10"/>
    </font>
    <font>
      <name val="Arial"/>
      <color rgb="FF000000"/>
      <sz val="10"/>
    </font>
    <font>
      <name val="Arial"/>
      <b val="1"/>
      <color rgb="FFFFFFFF"/>
      <sz val="11"/>
    </font>
    <font>
      <name val="Arial"/>
      <color rgb="FF0000FF"/>
      <sz val="10"/>
    </font>
    <font>
      <name val="Arial"/>
      <color rgb="FF008000"/>
      <sz val="10"/>
    </font>
  </fonts>
  <fills count="4">
    <fill>
      <patternFill/>
    </fill>
    <fill>
      <patternFill patternType="lightGray"/>
    </fill>
    <fill>
      <patternFill patternType="solid">
        <fgColor rgb="FFFFF2CC"/>
        <bgColor rgb="FFFFF2CC"/>
      </patternFill>
    </fill>
    <fill>
      <patternFill patternType="solid">
        <fgColor rgb="FF2D273F"/>
        <bgColor rgb="FF2D273F"/>
      </patternFill>
    </fill>
  </fills>
  <borders count="5">
    <border/>
    <border>
      <bottom style="medium">
        <color rgb="FFFF5B00"/>
      </bottom>
    </border>
    <border>
      <left style="thin">
        <color rgb="FFBFBFBF"/>
      </left>
      <right style="thin">
        <color rgb="FFBFBFBF"/>
      </right>
      <top style="thin">
        <color rgb="FFBFBFBF"/>
      </top>
      <bottom style="thin">
        <color rgb="FFBFBFBF"/>
      </bottom>
    </border>
    <border>
      <left/>
      <right/>
      <top/>
      <bottom/>
    </border>
    <border>
      <left style="medium">
        <color rgb="FFFF5B00"/>
      </left>
      <right style="medium">
        <color rgb="FFFF5B00"/>
      </right>
      <top style="medium">
        <color rgb="FFFF5B00"/>
      </top>
      <bottom style="medium">
        <color rgb="FFFF5B00"/>
      </bottom>
    </border>
  </borders>
  <cellStyleXfs count="1">
    <xf numFmtId="0" fontId="0" fillId="0" borderId="0"/>
  </cellStyleXfs>
  <cellXfs count="57">
    <xf numFmtId="0" fontId="0" fillId="0" borderId="0" applyAlignment="1" pivotButton="0" quotePrefix="0" xfId="0">
      <alignment vertical="bottom"/>
    </xf>
    <xf numFmtId="0" fontId="1" fillId="0" borderId="1" pivotButton="0" quotePrefix="0" xfId="0"/>
    <xf numFmtId="0" fontId="2" fillId="0" borderId="1"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2" applyAlignment="1" pivotButton="0" quotePrefix="0" xfId="0">
      <alignment horizontal="left" vertical="top" wrapText="1"/>
    </xf>
    <xf numFmtId="0" fontId="7" fillId="3" borderId="3" applyAlignment="1" pivotButton="0" quotePrefix="0" xfId="0">
      <alignment horizontal="left" wrapText="1"/>
    </xf>
    <xf numFmtId="0" fontId="5" fillId="0" borderId="0" applyAlignment="1" pivotButton="0" quotePrefix="0" xfId="0">
      <alignment vertical="top"/>
    </xf>
    <xf numFmtId="0" fontId="6" fillId="0" borderId="0" applyAlignment="1" pivotButton="0" quotePrefix="0" xfId="0">
      <alignment vertical="top" wrapText="1"/>
    </xf>
    <xf numFmtId="0" fontId="6" fillId="0" borderId="0" pivotButton="0" quotePrefix="0" xfId="0"/>
    <xf numFmtId="0" fontId="6" fillId="2" borderId="2" applyAlignment="1" pivotButton="0" quotePrefix="0" xfId="0">
      <alignment horizontal="center" vertical="top"/>
    </xf>
    <xf numFmtId="164" fontId="8" fillId="0" borderId="2" pivotButton="0" quotePrefix="0" xfId="0"/>
    <xf numFmtId="165" fontId="8" fillId="0" borderId="2" pivotButton="0" quotePrefix="0" xfId="0"/>
    <xf numFmtId="164" fontId="5" fillId="0" borderId="2" pivotButton="0" quotePrefix="0" xfId="0"/>
    <xf numFmtId="166" fontId="8" fillId="0" borderId="2" pivotButton="0" quotePrefix="0" xfId="0"/>
    <xf numFmtId="167" fontId="8" fillId="0" borderId="2" pivotButton="0" quotePrefix="0" xfId="0"/>
    <xf numFmtId="10" fontId="8" fillId="0" borderId="2" pivotButton="0" quotePrefix="0" xfId="0"/>
    <xf numFmtId="10" fontId="6" fillId="0" borderId="2" pivotButton="0" quotePrefix="0" xfId="0"/>
    <xf numFmtId="168" fontId="8" fillId="0" borderId="2" pivotButton="0" quotePrefix="0" xfId="0"/>
    <xf numFmtId="0" fontId="8" fillId="0" borderId="0" pivotButton="0" quotePrefix="0" xfId="0"/>
    <xf numFmtId="17" fontId="8" fillId="0" borderId="0" pivotButton="0" quotePrefix="0" xfId="0"/>
    <xf numFmtId="169" fontId="8" fillId="0" borderId="0" pivotButton="0" quotePrefix="0" xfId="0"/>
    <xf numFmtId="170" fontId="8" fillId="0" borderId="0" pivotButton="0" quotePrefix="0" xfId="0"/>
    <xf numFmtId="169" fontId="8" fillId="0" borderId="2" pivotButton="0" quotePrefix="0" xfId="0"/>
    <xf numFmtId="17" fontId="8" fillId="0" borderId="2" pivotButton="0" quotePrefix="0" xfId="0"/>
    <xf numFmtId="1" fontId="8" fillId="0" borderId="2" pivotButton="0" quotePrefix="0" xfId="0"/>
    <xf numFmtId="164" fontId="6" fillId="2" borderId="4" applyAlignment="1" pivotButton="0" quotePrefix="0" xfId="0">
      <alignment horizontal="right" vertical="top"/>
    </xf>
    <xf numFmtId="165" fontId="6" fillId="2" borderId="4" applyAlignment="1" pivotButton="0" quotePrefix="0" xfId="0">
      <alignment horizontal="right" vertical="top"/>
    </xf>
    <xf numFmtId="166" fontId="9" fillId="0" borderId="2" pivotButton="0" quotePrefix="0" xfId="0"/>
    <xf numFmtId="166" fontId="6" fillId="2" borderId="2" applyAlignment="1" pivotButton="0" quotePrefix="0" xfId="0">
      <alignment horizontal="right" vertical="top"/>
    </xf>
    <xf numFmtId="0" fontId="6" fillId="2" borderId="4" applyAlignment="1" pivotButton="0" quotePrefix="0" xfId="0">
      <alignment horizontal="center"/>
    </xf>
    <xf numFmtId="0" fontId="6" fillId="2" borderId="4" applyAlignment="1" pivotButton="0" quotePrefix="0" xfId="0">
      <alignment horizontal="left" vertical="top" wrapText="1"/>
    </xf>
    <xf numFmtId="166" fontId="6" fillId="2" borderId="4" applyAlignment="1" pivotButton="0" quotePrefix="0" xfId="0">
      <alignment horizontal="right" vertical="top"/>
    </xf>
    <xf numFmtId="165" fontId="9" fillId="0" borderId="2" pivotButton="0" quotePrefix="0" xfId="0"/>
    <xf numFmtId="167" fontId="6" fillId="2" borderId="4" applyAlignment="1" pivotButton="0" quotePrefix="0" xfId="0">
      <alignment horizontal="right" vertical="top"/>
    </xf>
    <xf numFmtId="167" fontId="9" fillId="0" borderId="2" pivotButton="0" quotePrefix="0" xfId="0"/>
    <xf numFmtId="10" fontId="9" fillId="0" borderId="2" pivotButton="0" quotePrefix="0" xfId="0"/>
    <xf numFmtId="167" fontId="6" fillId="2" borderId="2" applyAlignment="1" pivotButton="0" quotePrefix="0" xfId="0">
      <alignment horizontal="right" vertical="top"/>
    </xf>
    <xf numFmtId="1" fontId="6" fillId="2" borderId="2" applyAlignment="1" pivotButton="0" quotePrefix="0" xfId="0">
      <alignment horizontal="right" vertical="top"/>
    </xf>
    <xf numFmtId="165" fontId="6" fillId="2" borderId="2" applyAlignment="1" pivotButton="0" quotePrefix="0" xfId="0">
      <alignment horizontal="right" vertical="top"/>
    </xf>
    <xf numFmtId="0" fontId="4" fillId="0" borderId="0" applyAlignment="1" pivotButton="0" quotePrefix="0" xfId="0">
      <alignment vertical="top" wrapText="1"/>
    </xf>
    <xf numFmtId="164" fontId="6" fillId="2" borderId="2" applyAlignment="1" pivotButton="0" quotePrefix="0" xfId="0">
      <alignment horizontal="right" vertical="top"/>
    </xf>
    <xf numFmtId="171" fontId="6" fillId="2" borderId="4" applyAlignment="1" pivotButton="0" quotePrefix="0" xfId="0">
      <alignment horizontal="right" vertical="top"/>
    </xf>
    <xf numFmtId="10" fontId="6" fillId="2" borderId="4" applyAlignment="1" pivotButton="0" quotePrefix="0" xfId="0">
      <alignment horizontal="right" vertical="top"/>
    </xf>
    <xf numFmtId="171" fontId="8" fillId="0" borderId="2" pivotButton="0" quotePrefix="0" xfId="0"/>
    <xf numFmtId="171" fontId="6" fillId="2" borderId="2" applyAlignment="1" pivotButton="0" quotePrefix="0" xfId="0">
      <alignment horizontal="right" vertical="top"/>
    </xf>
    <xf numFmtId="166" fontId="6" fillId="0" borderId="2" pivotButton="0" quotePrefix="0" xfId="0"/>
    <xf numFmtId="166" fontId="5" fillId="0" borderId="2" pivotButton="0" quotePrefix="0" xfId="0"/>
    <xf numFmtId="168" fontId="6" fillId="0" borderId="2" pivotButton="0" quotePrefix="0" xfId="0"/>
    <xf numFmtId="167" fontId="6" fillId="0" borderId="2" pivotButton="0" quotePrefix="0" xfId="0"/>
    <xf numFmtId="0" fontId="6" fillId="2" borderId="4" applyAlignment="1" pivotButton="0" quotePrefix="0" xfId="0">
      <alignment horizontal="left"/>
    </xf>
    <xf numFmtId="165" fontId="6" fillId="0" borderId="2" pivotButton="0" quotePrefix="0" xfId="0"/>
    <xf numFmtId="0" fontId="5" fillId="0" borderId="0" applyAlignment="1" pivotButton="0" quotePrefix="0" xfId="0">
      <alignment horizontal="center"/>
    </xf>
    <xf numFmtId="0" fontId="0" fillId="0" borderId="0" pivotButton="0" quotePrefix="0" xfId="0"/>
    <xf numFmtId="3" fontId="0" fillId="0" borderId="0" pivotButton="0" quotePrefix="0" xfId="0"/>
    <xf numFmtId="172"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42"/>
  <sheetViews>
    <sheetView workbookViewId="0">
      <selection activeCell="A1" sqref="A1"/>
    </sheetView>
  </sheetViews>
  <sheetFormatPr baseColWidth="8" defaultColWidth="14.43" defaultRowHeight="15" customHeight="1" outlineLevelCol="0"/>
  <cols>
    <col width="24" customWidth="1" style="54" min="1" max="1"/>
    <col width="100" customWidth="1" style="54" min="2" max="2"/>
    <col width="8.710000000000001" customWidth="1" style="54" min="3" max="25"/>
    <col hidden="1" width="13" customWidth="1" style="54" min="26" max="26"/>
  </cols>
  <sheetData>
    <row r="1" ht="61.5" customHeight="1" s="54">
      <c r="A1" s="1" t="inlineStr">
        <is>
          <t>Intermediate Checkpoint Assessment, Form 1</t>
        </is>
      </c>
      <c r="B1" s="2" t="n"/>
      <c r="Z1" s="3" t="n">
        <v>1</v>
      </c>
    </row>
    <row r="2" ht="14.25" customHeight="1" s="54">
      <c r="A2" s="4" t="n"/>
    </row>
    <row r="3" ht="14.25" customHeight="1" s="54"/>
    <row r="4" ht="14.25" customHeight="1" s="54">
      <c r="A4" s="5" t="inlineStr">
        <is>
          <t>Your name (Last, First)</t>
        </is>
      </c>
      <c r="B4" s="6" t="inlineStr">
        <is>
          <t>Student, Sample</t>
        </is>
      </c>
    </row>
    <row r="5" ht="14.25" customHeight="1" s="54">
      <c r="A5" s="5" t="inlineStr">
        <is>
          <t>Cohort and school</t>
        </is>
      </c>
      <c r="B5" s="6" t="inlineStr">
        <is>
          <t>Intermediate Cohort, Sample School</t>
        </is>
      </c>
    </row>
    <row r="6" ht="14.25" customHeight="1" s="54"/>
    <row r="7" ht="14.25" customHeight="1" s="54">
      <c r="A7" s="7" t="inlineStr">
        <is>
          <t>Steps</t>
        </is>
      </c>
      <c r="B7" s="7" t="n"/>
    </row>
    <row r="8" ht="16.5" customHeight="1" s="54">
      <c r="A8" s="8" t="inlineStr">
        <is>
          <t>Step 1</t>
        </is>
      </c>
      <c r="B8" s="9" t="inlineStr">
        <is>
          <t>Type your name and cohort in the yellow cells above.</t>
        </is>
      </c>
    </row>
    <row r="9" ht="30" customHeight="1" s="54">
      <c r="A9" s="8" t="inlineStr">
        <is>
          <t>Step 2</t>
        </is>
      </c>
      <c r="B9" s="9" t="n"/>
    </row>
    <row r="10" ht="16.5" customHeight="1" s="54">
      <c r="A10" s="8" t="inlineStr">
        <is>
          <t>Step 3</t>
        </is>
      </c>
      <c r="B10" s="9" t="inlineStr">
        <is>
          <t>Answer every yellow cell on Part A and Part B.</t>
        </is>
      </c>
    </row>
    <row r="11" ht="30" customHeight="1" s="54">
      <c r="A11" s="8" t="inlineStr">
        <is>
          <t>Step 4</t>
        </is>
      </c>
      <c r="B11" s="9" t="inlineStr">
        <is>
          <t>Read Case Exhibits. Do not change Case Exhibits or columns A to J of the Data Pack. Add helper columns to the right of the Data Pack if you need them.</t>
        </is>
      </c>
    </row>
    <row r="12" ht="42.75" customHeight="1" s="54">
      <c r="A12" s="8" t="inlineStr">
        <is>
          <t>Step 5</t>
        </is>
      </c>
      <c r="B12" s="9" t="inlineStr">
        <is>
          <t>On Work 1 to Work 6, fill every yellow cell with a formula, except drop-down cells (pick from the list) and the Work 2 reason cells (write text). Reference the Data Pack, Case Exhibits, the blue inputs on that tab, or your own earlier Work tabs. A scored answer typed in as a number scores zero.</t>
        </is>
      </c>
    </row>
    <row r="13" ht="30" customHeight="1" s="54">
      <c r="A13" s="8" t="inlineStr">
        <is>
          <t>Step 6</t>
        </is>
      </c>
      <c r="B13" s="9" t="inlineStr">
        <is>
          <t>On Work 2, write a one-line reason for every treatment. Cite the fact in the diligence note or exhibit that decides it.</t>
        </is>
      </c>
    </row>
    <row r="14" ht="16.5" customHeight="1" s="54">
      <c r="A14" s="8" t="inlineStr">
        <is>
          <t>Step 7</t>
        </is>
      </c>
      <c r="B14" s="9" t="inlineStr">
        <is>
          <t>On Work 3, build the Data Table with Data &gt; What-If Analysis &gt; Data Table.</t>
        </is>
      </c>
    </row>
    <row r="15" ht="16.5" customHeight="1" s="54">
      <c r="A15" s="8" t="inlineStr">
        <is>
          <t>Step 8</t>
        </is>
      </c>
      <c r="B15" s="9" t="inlineStr">
        <is>
          <t>On Work 7, choose a finding for every line. Write a one-line fix for every line you do not mark OK.</t>
        </is>
      </c>
    </row>
    <row r="16" ht="16.5" customHeight="1" s="54">
      <c r="A16" s="8" t="inlineStr">
        <is>
          <t>Step 9</t>
        </is>
      </c>
      <c r="B16" s="9" t="inlineStr">
        <is>
          <t>On Synthesis, answer every prompt in full sentences. Cite figures from your Work tabs.</t>
        </is>
      </c>
    </row>
    <row r="17" ht="16.5" customHeight="1" s="54">
      <c r="A17" s="8" t="inlineStr">
        <is>
          <t>Step 10</t>
        </is>
      </c>
      <c r="B17" s="9" t="inlineStr">
        <is>
          <t>Open Self-Check. Fix every line that reads CHECK.</t>
        </is>
      </c>
    </row>
    <row r="18" ht="30" customHeight="1" s="54">
      <c r="A18" s="8" t="inlineStr">
        <is>
          <t>Step 11</t>
        </is>
      </c>
      <c r="B18" s="9" t="inlineStr">
        <is>
          <t>Save the file as LASTNAME_Firstname_INT_Form1.xlsx. Upload it at the link you were sent, before the deadline.</t>
        </is>
      </c>
    </row>
    <row r="19" ht="14.25" customHeight="1" s="54"/>
    <row r="20" ht="14.25" customHeight="1" s="54">
      <c r="A20" s="7" t="inlineStr">
        <is>
          <t>How to enter answers</t>
        </is>
      </c>
      <c r="B20" s="7" t="n"/>
    </row>
    <row r="21" ht="16.5" customHeight="1" s="54">
      <c r="A21" s="8" t="inlineStr">
        <is>
          <t>Dollars</t>
        </is>
      </c>
      <c r="B21" s="9" t="inlineStr">
        <is>
          <t>$ in millions on every tab except the Data Pack (dollars) and the property on Work 6 (whole dollars).</t>
        </is>
      </c>
    </row>
    <row r="22" ht="16.5" customHeight="1" s="54">
      <c r="A22" s="8" t="inlineStr">
        <is>
          <t>Percentages</t>
        </is>
      </c>
      <c r="B22" s="9" t="inlineStr">
        <is>
          <t>Return a decimal: a formula that gives 0.234 displays as 23.4%.</t>
        </is>
      </c>
    </row>
    <row r="23" ht="16.5" customHeight="1" s="54">
      <c r="A23" s="8" t="inlineStr">
        <is>
          <t>Multiples</t>
        </is>
      </c>
      <c r="B23" s="9" t="inlineStr">
        <is>
          <t>Return the number: 2.4 displays as 2.40x.</t>
        </is>
      </c>
    </row>
    <row r="24" ht="16.5" customHeight="1" s="54">
      <c r="A24" s="8" t="inlineStr">
        <is>
          <t>Choices</t>
        </is>
      </c>
      <c r="B24" s="9" t="inlineStr">
        <is>
          <t>Pick from the drop-down list in the cell.</t>
        </is>
      </c>
    </row>
    <row r="25" ht="16.5" customHeight="1" s="54">
      <c r="A25" s="8" t="inlineStr">
        <is>
          <t>Precision</t>
        </is>
      </c>
      <c r="B25" s="9" t="inlineStr">
        <is>
          <t>Round only at the end. Carry full precision through your work.</t>
        </is>
      </c>
    </row>
    <row r="26" ht="16.5" customHeight="1" s="54">
      <c r="A26" s="8" t="inlineStr">
        <is>
          <t>Colors</t>
        </is>
      </c>
      <c r="B26" s="9" t="inlineStr">
        <is>
          <t>Blue = input. Black = formula. Green = link to another tab. Scored cells have an orange border.</t>
        </is>
      </c>
    </row>
    <row r="27" ht="16.5" customHeight="1" s="54">
      <c r="A27" s="8" t="inlineStr">
        <is>
          <t>Circularity</t>
        </is>
      </c>
      <c r="B27" s="9" t="inlineStr">
        <is>
          <t>Work 3 uses average-balance interest. Iterative calculation is on in this file.</t>
        </is>
      </c>
    </row>
    <row r="28" ht="14.25" customHeight="1" s="54"/>
    <row r="29" ht="14.25" customHeight="1" s="54">
      <c r="A29" s="7" t="inlineStr">
        <is>
          <t>Scoring</t>
        </is>
      </c>
      <c r="B29" s="7" t="n"/>
    </row>
    <row r="30" ht="14.25" customHeight="1" s="54">
      <c r="A30" s="5" t="inlineStr">
        <is>
          <t>Part A</t>
        </is>
      </c>
      <c r="B30" s="10" t="inlineStr">
        <is>
          <t>Items 1-20. Multiple choice, 1 point each. 20 points.</t>
        </is>
      </c>
    </row>
    <row r="31" ht="14.25" customHeight="1" s="54">
      <c r="A31" s="5" t="inlineStr">
        <is>
          <t>Part B</t>
        </is>
      </c>
      <c r="B31" s="10" t="inlineStr">
        <is>
          <t>Items 21-30. True or false, 0.5 point each. 5 points.</t>
        </is>
      </c>
    </row>
    <row r="32" ht="14.25" customHeight="1" s="54">
      <c r="A32" s="5" t="inlineStr">
        <is>
          <t>Work 1</t>
        </is>
      </c>
      <c r="B32" s="10" t="inlineStr">
        <is>
          <t>Items 31-40. Data Pack analysis. 10 points.</t>
        </is>
      </c>
    </row>
    <row r="33" ht="14.25" customHeight="1" s="54">
      <c r="A33" s="5" t="inlineStr">
        <is>
          <t>Work 2</t>
        </is>
      </c>
      <c r="B33" s="10" t="inlineStr">
        <is>
          <t>Items 41-48. Underwriting EBITDA: each treatment 0.5, each written reason 0.5, the underwriting EBITDA 1 point. 8 points.</t>
        </is>
      </c>
    </row>
    <row r="34" ht="14.25" customHeight="1" s="54">
      <c r="A34" s="5" t="inlineStr">
        <is>
          <t>Work 3</t>
        </is>
      </c>
      <c r="B34" s="10" t="inlineStr">
        <is>
          <t>Items 49-64. Sources and uses, debt schedule and returns. 16 points.</t>
        </is>
      </c>
    </row>
    <row r="35" ht="14.25" customHeight="1" s="54">
      <c r="A35" s="5" t="inlineStr">
        <is>
          <t>Work 4</t>
        </is>
      </c>
      <c r="B35" s="10" t="inlineStr">
        <is>
          <t>Items 65-77. Credit solvency. 13 points.</t>
        </is>
      </c>
    </row>
    <row r="36" ht="14.25" customHeight="1" s="54">
      <c r="A36" s="5" t="inlineStr">
        <is>
          <t>Work 5</t>
        </is>
      </c>
      <c r="B36" s="10" t="inlineStr">
        <is>
          <t>Items 78-81. Recovery waterfall. 4 points.</t>
        </is>
      </c>
    </row>
    <row r="37" ht="14.25" customHeight="1" s="54">
      <c r="A37" s="5" t="inlineStr">
        <is>
          <t>Work 6</t>
        </is>
      </c>
      <c r="B37" s="10" t="inlineStr">
        <is>
          <t>Items 82-87. Real estate and cross-asset comparison. 6 points.</t>
        </is>
      </c>
    </row>
    <row r="38" ht="14.25" customHeight="1" s="54">
      <c r="A38" s="5" t="inlineStr">
        <is>
          <t>Work 7</t>
        </is>
      </c>
      <c r="B38" s="10" t="inlineStr">
        <is>
          <t>Items 88-99. Self-audit findings, 0.5 point each, plus 2 points for the fixes. 8 points.</t>
        </is>
      </c>
    </row>
    <row r="39" ht="14.25" customHeight="1" s="54">
      <c r="A39" s="5" t="inlineStr">
        <is>
          <t>Synthesis</t>
        </is>
      </c>
      <c r="B39" s="10" t="inlineStr">
        <is>
          <t>Five written answers, 2 points each. 10 points.</t>
        </is>
      </c>
    </row>
    <row r="40" ht="14.25" customHeight="1" s="54">
      <c r="A40" s="5" t="inlineStr">
        <is>
          <t>Total</t>
        </is>
      </c>
      <c r="B40" s="10" t="inlineStr">
        <is>
          <t>100 points.</t>
        </is>
      </c>
    </row>
    <row r="41" ht="14.25" customHeight="1" s="54"/>
    <row r="42" ht="14.25" customHeight="1" s="54">
      <c r="A42" s="4" t="inlineStr">
        <is>
          <t>Bramble Hill Foods, Kestrel Bakeries, Alder Court Apartments and every other company in this workbook are illustrative. The Data Pack is constructed for this assessment.</t>
        </is>
      </c>
    </row>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ColWidth="14.43" defaultRowHeight="15" customHeight="1" outlineLevelCol="0"/>
  <cols>
    <col width="8" customWidth="1" style="54" min="1" max="1"/>
    <col width="96" customWidth="1" style="54" min="2" max="2"/>
    <col width="12" customWidth="1" style="54" min="3" max="3"/>
    <col width="8.710000000000001" customWidth="1" style="54" min="4" max="26"/>
  </cols>
  <sheetData>
    <row r="1" ht="61.5" customHeight="1" s="54">
      <c r="A1" s="1" t="inlineStr">
        <is>
          <t>Part A. Multiple choice: items 1-20, 1 point each</t>
        </is>
      </c>
      <c r="B1" s="2" t="n"/>
      <c r="C1" s="2" t="n"/>
    </row>
    <row r="2" ht="14.25" customHeight="1" s="54">
      <c r="A2" s="4" t="inlineStr">
        <is>
          <t>Choose A, B, C or D in the yellow cell. Items 1-20 are about other companies, not Project Bramble.</t>
        </is>
      </c>
    </row>
    <row r="3" ht="14.25" customHeight="1" s="54"/>
    <row r="4" ht="14.25" customHeight="1" s="54">
      <c r="A4" s="7" t="inlineStr">
        <is>
          <t>Item</t>
        </is>
      </c>
      <c r="B4" s="7" t="inlineStr">
        <is>
          <t>Question</t>
        </is>
      </c>
      <c r="C4" s="7" t="inlineStr">
        <is>
          <t>Answer</t>
        </is>
      </c>
    </row>
    <row r="5" ht="81.75" customHeight="1" s="54">
      <c r="A5" s="8" t="n">
        <v>1</v>
      </c>
      <c r="B5" s="9" t="inlineStr">
        <is>
          <t>A fellow's forecast balance sheet balances in Year 1. In Year 2, total assets exceed liabilities plus equity by exactly the Year 2 increase in accounts receivable. What is the most likely cause?
A.  Interest expense was left out of both the income statement and the cash flow statement
B.  Depreciation was added back twice in cash flow from operations, overstating the cash balance
C.  The receivables increase was never deducted in cash flow from operations
D.  The dividend was deducted from retained earnings but never deducted from the cash balance</t>
        </is>
      </c>
      <c r="C5" s="11" t="inlineStr">
        <is>
          <t>C</t>
        </is>
      </c>
    </row>
    <row r="6" ht="94.5" customHeight="1" s="54">
      <c r="A6" s="8" t="n">
        <v>2</v>
      </c>
      <c r="B6" s="9" t="inlineStr">
        <is>
          <t>A debt schedule uses average-balance interest, a cash sweep and iterative calculation. A fellow typed text into the Year 1 EBITDA cell by mistake, then restored the formula. Every year still shows #VALUE!. What clears it?
A.  Move the debt schedule above the working capital schedule so it calculates first
B.  Hardcode Year 1 interest at last year's figure so the loop has a fixed starting point
C.  Switch interest to the opening balance, let it recalculate, then switch back
D.  Delete the minimum cash balance so the sweep can never produce a negative figure</t>
        </is>
      </c>
      <c r="C6" s="11" t="inlineStr">
        <is>
          <t>B</t>
        </is>
      </c>
    </row>
    <row r="7" ht="94.5" customHeight="1" s="54">
      <c r="A7" s="8" t="n">
        <v>3</v>
      </c>
      <c r="B7" s="9" t="inlineStr">
        <is>
          <t>A sponsor offers $32.00 per share for a company with 60.0m basic shares and 4.0m in-the-money options at a $24.00 average exercise price. Using the treasury stock method, what is the equity purchase price?
A.  $1,920.0m
B.  $2,048.0m
C.  $2,016.0m
D.  $1,952.0m</t>
        </is>
      </c>
      <c r="C7" s="11" t="inlineStr">
        <is>
          <t>D</t>
        </is>
      </c>
    </row>
    <row r="8" ht="94.5" customHeight="1" s="54">
      <c r="A8" s="8" t="n">
        <v>4</v>
      </c>
      <c r="B8" s="9" t="inlineStr">
        <is>
          <t>Two base cases for the same buyout, bought at 8.0x, reach the same IRR. Case X exits at 9.5x with 4% annual EBITDA growth. Case Y exits at 8.0x with 7% growth, backed by signed price increases and a new contract. Which base case should the memo lead with?
A.  Case X, because growth assumptions are harder to defend than an exit multiple
B.  Either one, because the two cases produce the same IRR and the same MOIC
C.  Case X, because a higher exit multiple is the market's own view of business quality
D.  Case Y, because its return rests on operating results the team can diligence</t>
        </is>
      </c>
      <c r="C8" s="11" t="inlineStr">
        <is>
          <t>B</t>
        </is>
      </c>
    </row>
    <row r="9" ht="81.75" customHeight="1" s="54">
      <c r="A9" s="8" t="n">
        <v>5</v>
      </c>
      <c r="B9" s="9" t="inlineStr">
        <is>
          <t>A CIM shows Adjusted EBITDA up 18%. The invoice data shows the largest customer's share of revenue rose from 20% to 29%, and its gross margin fell 4 points. What does this mean for a lender?
A.  Earnings lean more on one customer already pushing price down; stress that customer
B.  The margin decline matters to the equity investor, but not to the lender's repayment
C.  Nothing, because more revenue from the top customer shows a strong relationship
D.  Debt capacity rises, because 18% EBITDA growth supports more debt at the same multiple</t>
        </is>
      </c>
      <c r="C9" s="11" t="inlineStr">
        <is>
          <t>A</t>
        </is>
      </c>
    </row>
    <row r="10" ht="81.75" customHeight="1" s="54">
      <c r="A10" s="8" t="n">
        <v>6</v>
      </c>
      <c r="B10" s="9" t="inlineStr">
        <is>
          <t>A fund's hurdle is a 20% IRR. Deal A: base case 25% IRR, downside 0.6x MOIC. Deal B: base case 21% IRR, downside 1.2x MOIC. Both fit the mandate. Which recommendation is best supported?
A.  Deal A, because it has the highest base-case return and also clears the hurdle
B.  Neither, because Deal B's base-case return is lower than Deal A's base-case return
C.  Deal B, because it clears the hurdle and keeps the equity whole in the downside
D.  Deal A, because a 0.6x downside is within the normal range for a leveraged buyout</t>
        </is>
      </c>
      <c r="C10" s="11" t="inlineStr">
        <is>
          <t>C</t>
        </is>
      </c>
    </row>
    <row r="11" ht="81.75" customHeight="1" s="54">
      <c r="A11" s="8" t="n">
        <v>7</v>
      </c>
      <c r="B11" s="9" t="inlineStr">
        <is>
          <t>A snack maker needs up to $6.0m of extra working capital each autumn and repays it by spring. Which facility fits that need?
A.  A larger term loan B drawn at close and repaid over seven years
B.  A five-year bond issued now and held in cash until needed
C.  A seller note that accrues interest and is repaid at exit
D.  A revolving credit facility sized to the seasonal peak</t>
        </is>
      </c>
      <c r="C11" s="11" t="inlineStr">
        <is>
          <t>D</t>
        </is>
      </c>
    </row>
    <row r="12" ht="94.5" customHeight="1" s="54">
      <c r="A12" s="8" t="n">
        <v>8</v>
      </c>
      <c r="B12" s="9" t="inlineStr">
        <is>
          <t>A company has an undrawn $15m revolver. Its leverage covenant, tested each quarter, is a 5.0x maximum; leverage today is 4.8x. EBITDA is forecast to fall 10% next quarter with debt unchanged. The sponsor says liquidity is covered. What is the strongest objection?
A.  The commitment fee on the undrawn amount makes the revolver too costly to keep
B.  Leverage would rise to about 5.3x, a breach that can block the draw when the cash is needed
C.  Revolvers are priced above term loans, so drawing on one is uneconomic for the sponsor
D.  Revolver borrowings cannot be redrawn once they have been repaid from cash flow</t>
        </is>
      </c>
      <c r="C12" s="11" t="inlineStr">
        <is>
          <t>B</t>
        </is>
      </c>
    </row>
    <row r="13" ht="94.5" customHeight="1" s="54">
      <c r="A13" s="8" t="n">
        <v>9</v>
      </c>
      <c r="B13" s="9" t="inlineStr">
        <is>
          <t>Two companies each earn $20m of EBITDA. One sells software on multi-year subscriptions. The other distributes building products and saw EBITDA fall 35% in the last downturn. Lenders offer both 5.0x. What is the best assessment?
A.  The software company can carry less, because it owns far fewer hard assets
B.  Both can carry 5.0x, because the EBITDA multiple is what sets debt capacity
C.  The distributor can carry more, because its inventory and receivables are collateral
D.  The distributor can safely carry less: its EBITDA falls hardest when debt is due</t>
        </is>
      </c>
      <c r="C13" s="11" t="inlineStr">
        <is>
          <t>D</t>
        </is>
      </c>
    </row>
    <row r="14" ht="94.5" customHeight="1" s="54">
      <c r="A14" s="8" t="n">
        <v>10</v>
      </c>
      <c r="B14" s="9" t="inlineStr">
        <is>
          <t>LTM EBITDA is 12.0. Cash interest is 4.0, cash taxes 1.0, capex 3.0, the increase in net working capital 2.0, and mandatory amortization 1.5 ($ millions). How much cash is available for optional debt repayment?
A.  0.5
B.  2.5
C.  2.0
D.  4.5</t>
        </is>
      </c>
      <c r="C14" s="11" t="inlineStr">
        <is>
          <t>A</t>
        </is>
      </c>
    </row>
    <row r="15" ht="81.75" customHeight="1" s="54">
      <c r="A15" s="8" t="n">
        <v>11</v>
      </c>
      <c r="B15" s="9" t="inlineStr">
        <is>
          <t>A credit agreement requires leverage at or below 5.0x at every quarter-end. It allows a dividend only if leverage after the dividend is at or below 4.0x. Leverage is 4.6x. Which is true?
A.  It is in default under the quarterly test and cannot pay a dividend
B.  It complies with the quarterly test and can also pay a dividend now
C.  It must repay debt down to 4.0x before the next quarter-end test
D.  It complies with the quarterly test but cannot pay a dividend now</t>
        </is>
      </c>
      <c r="C15" s="11" t="inlineStr">
        <is>
          <t>D</t>
        </is>
      </c>
    </row>
    <row r="16" ht="94.5" customHeight="1" s="54">
      <c r="A16" s="8" t="n">
        <v>12</v>
      </c>
      <c r="B16" s="9" t="inlineStr">
        <is>
          <t>A restricted-payments basket equals $5m, plus 50% of cumulative net income, plus 100% of equity raised, less dividends already paid. Since closing, the borrower has earned $30m, raised $4m of equity and paid $12m of dividends. How much more can it pay?
A.  $22m
B.  $24m
C.  $12m
D.  $7m</t>
        </is>
      </c>
      <c r="C16" s="11" t="inlineStr">
        <is>
          <t>C</t>
        </is>
      </c>
    </row>
    <row r="17" ht="94.5" customHeight="1" s="54">
      <c r="A17" s="8" t="n">
        <v>13</v>
      </c>
      <c r="B17" s="9" t="inlineStr">
        <is>
          <t>Comparable financings support 4.5x of a borrower's $20m EBITDA. The lender also requires EBITDA / interest of at least 2.0x after a 25% EBITDA decline, at a 9.0% interest rate. What is the most debt the borrower should raise?
A.  $83.3m
B.  $111.1m
C.  $66.7m
D.  $90.0m</t>
        </is>
      </c>
      <c r="C17" s="11" t="inlineStr">
        <is>
          <t>A</t>
        </is>
      </c>
    </row>
    <row r="18" ht="81.75" customHeight="1" s="54">
      <c r="A18" s="8" t="n">
        <v>14</v>
      </c>
      <c r="B18" s="9" t="inlineStr">
        <is>
          <t>A fund invests in North American companies with $5m to $25m of EBITDA. A banker sends a CIM for a UK company with $12m of EBITDA and strong growth. What is the right response?
A.  Submit an indication of interest now to keep a place in the banker's process
B.  Flag that it is outside the fund's geography and stop unless told otherwise
C.  Request data-room access so the growth claims can be tested before deciding
D.  Build the LBO model first to see whether the returns justify an exception</t>
        </is>
      </c>
      <c r="C18" s="11" t="inlineStr">
        <is>
          <t>B</t>
        </is>
      </c>
    </row>
    <row r="19" ht="94.5" customHeight="1" s="54">
      <c r="A19" s="8" t="n">
        <v>15</v>
      </c>
      <c r="B19" s="9" t="inlineStr">
        <is>
          <t>You submitted a non-binding indication at 8.5x management's Adjusted EBITDA. In diligence you find that $2.0m of that EBITDA is a price increase no customer has accepted. Second-round bids are due. What do you do?
A.  Hold 8.5x on management's EBITDA to stay credible with the banker
B.  Withdraw, because a submitted indication of interest cannot be changed
C.  Re-price the bid off the diligenced EBITDA and tell the banker the reason
D.  Keep the price and ask the banker for a longer exclusivity period</t>
        </is>
      </c>
      <c r="C19" s="11" t="inlineStr">
        <is>
          <t>C</t>
        </is>
      </c>
    </row>
    <row r="20" ht="94.5" customHeight="1" s="54">
      <c r="A20" s="8" t="n">
        <v>16</v>
      </c>
      <c r="B20" s="9" t="inlineStr">
        <is>
          <t>A borrower misses its leverage covenant by 0.3x after losing one contract; the rest of the business is stable. The sponsor offers a $10m equity injection and asks for a waiver. What is the lender's most sensible response?
A.  Take no action, because nothing is wrong until a scheduled payment is missed
B.  Grant the waiver in exchange for the equity plus a fee or higher pricing
C.  Accelerate the loan and enforce on the collateral before value erodes
D.  Refuse the equity and demand full repayment of the loan within 90 days</t>
        </is>
      </c>
      <c r="C20" s="11" t="inlineStr">
        <is>
          <t>B</t>
        </is>
      </c>
    </row>
    <row r="21" ht="94.5" customHeight="1" s="54">
      <c r="A21" s="8" t="n">
        <v>17</v>
      </c>
      <c r="B21" s="9" t="inlineStr">
        <is>
          <t>Two apartment buildings have the same rents and the same NOI and are offered at the same cap rate. Building 1 replaced its roof and boilers last year. Building 2 needs $1.2m of capital work within two years. Which is true?
A.  Building 2 is worth more, because the upcoming capital work will let it raise rents
B.  Building 2 is worth less than the cap-rate price, because the work sits below NOI
C.  Building 2's price already reflects the work, because capital work reduces its NOI
D.  The buildings are worth the same, because value equals NOI divided by the cap rate</t>
        </is>
      </c>
      <c r="C21" s="11" t="inlineStr">
        <is>
          <t>B</t>
        </is>
      </c>
    </row>
    <row r="22" ht="81.75" customHeight="1" s="54">
      <c r="A22" s="8" t="n">
        <v>18</v>
      </c>
      <c r="B22" s="9" t="inlineStr">
        <is>
          <t>A fund's credit hurdle is a 9.0% all-in yield and its buyout hurdle is a 20% IRR. A unitranche loan yields 10.5%. A buyout shows an 18% base-case IRR. Which statement is correct?
A.  The loan clears its hurdle and the buyout does not
B.  Neither can be judged until both are converted to a MOIC
C.  The buyout is better, because 18% is higher than 10.5%
D.  Both clear, because each return beats the risk-free rate</t>
        </is>
      </c>
      <c r="C22" s="11" t="inlineStr">
        <is>
          <t>A</t>
        </is>
      </c>
    </row>
    <row r="23" ht="94.5" customHeight="1" s="54">
      <c r="A23" s="8" t="n">
        <v>19</v>
      </c>
      <c r="B23" s="9" t="inlineStr">
        <is>
          <t>A draft memo's risk section reads: "Customer concentration: management believes the relationships are strong." The top customer is 38% of revenue and has no contract. Which revision helps the committee most?
A.  Delete the risk, because management knows its own customers better than the deal team
B.  Size the EBITDA at risk and pair it with a real protection, like a contract
C.  Add that the top customer has bought from the company for twelve straight years
D.  Move the risk to the appendix so that the investment merits lead the memo</t>
        </is>
      </c>
      <c r="C23" s="11" t="inlineStr">
        <is>
          <t>B</t>
        </is>
      </c>
    </row>
    <row r="24" ht="81.75" customHeight="1" s="54">
      <c r="A24" s="8" t="n">
        <v>20</v>
      </c>
      <c r="B24" s="9" t="inlineStr">
        <is>
          <t>Two days before the investment committee, you find a model error that cuts the base-case IRR from 22% to 19%, below the 20% hurdle. What do you do?
A.  Fix it and send the corrected figures and impact to the committee before it meets
B.  Postpone the committee without explaining why, and fix the model in the meantime
C.  Present as planned and raise the error only if a committee member asks about it
D.  Raise the exit multiple by 0.5x so the IRR is back at the 20% hurdle before the meeting</t>
        </is>
      </c>
      <c r="C24" s="11" t="inlineStr">
        <is>
          <t>A</t>
        </is>
      </c>
    </row>
    <row r="25" ht="14.25" customHeight="1" s="54"/>
    <row r="26" ht="14.25" customHeight="1" s="54"/>
    <row r="27" ht="14.25" customHeight="1" s="54"/>
    <row r="28" ht="14.25" customHeight="1" s="54"/>
    <row r="29" ht="14.25" customHeight="1" s="54"/>
    <row r="30" ht="14.25" customHeight="1" s="54"/>
    <row r="31" ht="14.25" customHeight="1" s="54"/>
    <row r="32" ht="14.25" customHeight="1" s="54"/>
    <row r="33" ht="14.25" customHeight="1" s="54"/>
    <row r="34" ht="14.25" customHeight="1" s="54"/>
    <row r="35" ht="14.25" customHeight="1" s="54"/>
    <row r="36" ht="14.25" customHeight="1" s="54"/>
    <row r="37" ht="14.25" customHeight="1" s="54"/>
    <row r="38" ht="14.25" customHeight="1" s="54"/>
    <row r="39" ht="14.25" customHeight="1" s="54"/>
    <row r="40" ht="14.25" customHeight="1" s="54"/>
    <row r="41" ht="14.25" customHeight="1" s="54"/>
    <row r="42" ht="14.25" customHeight="1" s="54"/>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dataValidations count="1">
    <dataValidation sqref="C5:C24" showDropDown="0" showInputMessage="1" showErrorMessage="1" allowBlank="1" prompt="Part A - Choose from the list." type="list">
      <formula1>"A,B,C,D"</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ColWidth="14.43" defaultRowHeight="15" customHeight="1" outlineLevelCol="0"/>
  <cols>
    <col width="8" customWidth="1" style="54" min="1" max="1"/>
    <col width="96" customWidth="1" style="54" min="2" max="2"/>
    <col width="12" customWidth="1" style="54" min="3" max="3"/>
    <col width="8.710000000000001" customWidth="1" style="54" min="4" max="26"/>
  </cols>
  <sheetData>
    <row r="1" ht="61.5" customHeight="1" s="54">
      <c r="A1" s="1" t="inlineStr">
        <is>
          <t>Part B. True or false: items 21-30, 0.5 point each</t>
        </is>
      </c>
      <c r="B1" s="2" t="n"/>
      <c r="C1" s="2" t="n"/>
    </row>
    <row r="2" ht="14.25" customHeight="1" s="54">
      <c r="A2" s="4" t="inlineStr">
        <is>
          <t>Choose True or False in the yellow cell. Items 21-30 are about other companies, not Project Bramble.</t>
        </is>
      </c>
    </row>
    <row r="3" ht="14.25" customHeight="1" s="54"/>
    <row r="4" ht="14.25" customHeight="1" s="54">
      <c r="A4" s="7" t="inlineStr">
        <is>
          <t>Item</t>
        </is>
      </c>
      <c r="B4" s="7" t="inlineStr">
        <is>
          <t>Statement</t>
        </is>
      </c>
      <c r="C4" s="7" t="inlineStr">
        <is>
          <t>Answer</t>
        </is>
      </c>
    </row>
    <row r="5" ht="30" customHeight="1" s="54">
      <c r="A5" s="5" t="n">
        <v>21</v>
      </c>
      <c r="B5" s="9" t="inlineStr">
        <is>
          <t>A cash sweep repays 3.0 of a term loan during Year 1. Year 1 interest calculated on the average balance is lower than interest calculated on the opening balance.</t>
        </is>
      </c>
      <c r="C5" s="11" t="inlineStr">
        <is>
          <t>True</t>
        </is>
      </c>
    </row>
    <row r="6" ht="42.75" customHeight="1" s="54">
      <c r="A6" s="5" t="n">
        <v>22</v>
      </c>
      <c r="B6" s="9" t="inlineStr">
        <is>
          <t>Collateral worth 40 secures a first lien claim of 50. Unsecured claims are 30. After the collateral is paid out, 16 of value remains and is shared pro rata among all unsecured claims, including the first lien's shortfall. The first lien recovers more than 40 in total.</t>
        </is>
      </c>
      <c r="C6" s="11" t="inlineStr">
        <is>
          <t>True</t>
        </is>
      </c>
    </row>
    <row r="7" ht="30" customHeight="1" s="54">
      <c r="A7" s="5" t="n">
        <v>23</v>
      </c>
      <c r="B7" s="9" t="inlineStr">
        <is>
          <t>A building has NOI of $500,000 and annual debt service of $400,000, and the owner invested $3.0m of equity. Its cash-on-cash return is 16.7%.</t>
        </is>
      </c>
      <c r="C7" s="11" t="inlineStr">
        <is>
          <t>False</t>
        </is>
      </c>
    </row>
    <row r="8" ht="30" customHeight="1" s="54">
      <c r="A8" s="5" t="n">
        <v>24</v>
      </c>
      <c r="B8" s="9" t="inlineStr">
        <is>
          <t>A borrower at 4.4x leverage faces a 4.5x maximum for taking on new debt. It can borrow another 1.0x of EBITDA and still meet that test.</t>
        </is>
      </c>
      <c r="C8" s="11" t="inlineStr">
        <is>
          <t>False</t>
        </is>
      </c>
    </row>
    <row r="9" ht="30" customHeight="1" s="54">
      <c r="A9" s="5" t="n">
        <v>25</v>
      </c>
      <c r="B9" s="9" t="inlineStr">
        <is>
          <t>A base case returns 2.2x MOIC. The downside cuts revenue growth by 1 point, changes nothing else, and returns 2.1x. This shows the deal holds up in a downturn.</t>
        </is>
      </c>
      <c r="C9" s="11" t="inlineStr">
        <is>
          <t>False</t>
        </is>
      </c>
    </row>
    <row r="10" ht="42.75" customHeight="1" s="54">
      <c r="A10" s="5" t="n">
        <v>26</v>
      </c>
      <c r="B10" s="9" t="inlineStr">
        <is>
          <t>EBITDA is 10.0, capex 4.0, cash taxes 1.0, cash interest 3.0 and mandatory amortization 1.0. Fixed-charge coverage, (EBITDA - capex - cash taxes) / (interest + mandatory amortization), is 1.25x, leaving 1.0 of cash after contractual payments.</t>
        </is>
      </c>
      <c r="C10" s="11" t="inlineStr">
        <is>
          <t>True</t>
        </is>
      </c>
    </row>
    <row r="11" ht="30" customHeight="1" s="54">
      <c r="A11" s="5" t="n">
        <v>27</v>
      </c>
      <c r="B11" s="9" t="inlineStr">
        <is>
          <t>A company's unhedged term loan B pays SOFR plus a fixed spread. If SOFR rises 2 points, its interest coverage falls even though nothing in the business has changed.</t>
        </is>
      </c>
      <c r="C11" s="11" t="inlineStr">
        <is>
          <t>True</t>
        </is>
      </c>
    </row>
    <row r="12" ht="30" customHeight="1" s="54">
      <c r="A12" s="5" t="n">
        <v>28</v>
      </c>
      <c r="B12" s="9" t="inlineStr">
        <is>
          <t>A customer that is 30% of revenue signs a five-year contract with minimum volumes covering 80% of its current purchases. The lender can now model no loss from that customer in the downside.</t>
        </is>
      </c>
      <c r="C12" s="11" t="inlineStr">
        <is>
          <t>False</t>
        </is>
      </c>
    </row>
    <row r="13" ht="30" customHeight="1" s="54">
      <c r="A13" s="5" t="n">
        <v>29</v>
      </c>
      <c r="B13" s="9" t="inlineStr">
        <is>
          <t>A CIM adds back run-rate savings from a plant closure that has not started. A lender sizing debt should include the full add-back, because management has committed to the closure.</t>
        </is>
      </c>
      <c r="C13" s="11" t="inlineStr">
        <is>
          <t>False</t>
        </is>
      </c>
    </row>
    <row r="14" ht="30" customHeight="1" s="54">
      <c r="A14" s="5" t="n">
        <v>30</v>
      </c>
      <c r="B14" s="9" t="inlineStr">
        <is>
          <t>Two sponsors buy the same company for $100m, one with 25% equity and one with 45%, the rest in senior debt. If the company is later sold for $60m, the lender to the 25%-equity deal loses more.</t>
        </is>
      </c>
      <c r="C14" s="11" t="inlineStr">
        <is>
          <t>True</t>
        </is>
      </c>
    </row>
    <row r="15" ht="14.25" customHeight="1" s="54"/>
    <row r="16" ht="14.25" customHeight="1" s="54"/>
    <row r="17" ht="14.25" customHeight="1" s="54"/>
    <row r="18" ht="14.25" customHeight="1" s="54"/>
    <row r="19" ht="14.25" customHeight="1" s="54"/>
    <row r="20" ht="14.25" customHeight="1" s="54"/>
    <row r="21" ht="14.25" customHeight="1" s="54"/>
    <row r="22" ht="14.25" customHeight="1" s="54"/>
    <row r="23" ht="14.25" customHeight="1" s="54"/>
    <row r="24" ht="14.25" customHeight="1" s="54"/>
    <row r="25" ht="14.25" customHeight="1" s="54"/>
    <row r="26" ht="14.25" customHeight="1" s="54"/>
    <row r="27" ht="14.25" customHeight="1" s="54"/>
    <row r="28" ht="14.25" customHeight="1" s="54"/>
    <row r="29" ht="14.25" customHeight="1" s="54"/>
    <row r="30" ht="14.25" customHeight="1" s="54"/>
    <row r="31" ht="14.25" customHeight="1" s="54"/>
    <row r="32" ht="14.25" customHeight="1" s="54"/>
    <row r="33" ht="14.25" customHeight="1" s="54"/>
    <row r="34" ht="14.25" customHeight="1" s="54"/>
    <row r="35" ht="14.25" customHeight="1" s="54"/>
    <row r="36" ht="14.25" customHeight="1" s="54"/>
    <row r="37" ht="14.25" customHeight="1" s="54"/>
    <row r="38" ht="14.25" customHeight="1" s="54"/>
    <row r="39" ht="14.25" customHeight="1" s="54"/>
    <row r="40" ht="14.25" customHeight="1" s="54"/>
    <row r="41" ht="14.25" customHeight="1" s="54"/>
    <row r="42" ht="14.25" customHeight="1" s="54"/>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dataValidations count="1">
    <dataValidation sqref="C5:C14" showDropDown="0" showInputMessage="1" showErrorMessage="1" allowBlank="1" prompt="Part B - Choose from the list." type="list">
      <formula1>"True,False"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ColWidth="14.43" defaultRowHeight="15" customHeight="1" outlineLevelCol="0"/>
  <cols>
    <col width="46" customWidth="1" style="54" min="1" max="1"/>
    <col width="14" customWidth="1" style="54" min="2" max="3"/>
    <col width="70" customWidth="1" style="54" min="4" max="4"/>
    <col width="8.710000000000001" customWidth="1" style="54" min="5" max="26"/>
  </cols>
  <sheetData>
    <row r="1" ht="61.5" customHeight="1" s="54">
      <c r="A1" s="1" t="inlineStr">
        <is>
          <t>Project Bramble: Bramble Hill Foods ($ in millions unless stated)</t>
        </is>
      </c>
      <c r="B1" s="2" t="n"/>
      <c r="C1" s="2" t="n"/>
      <c r="D1" s="2" t="n"/>
    </row>
    <row r="2" ht="14.25" customHeight="1" s="54">
      <c r="A2" s="4" t="inlineStr">
        <is>
          <t>Read-only. Reference these cells from your Work tabs.</t>
        </is>
      </c>
    </row>
    <row r="3" ht="14.25" customHeight="1" s="54"/>
    <row r="4" ht="14.25" customHeight="1" s="54">
      <c r="A4" s="7" t="inlineStr">
        <is>
          <t>Exhibit 1. Company and CIM summary</t>
        </is>
      </c>
      <c r="B4" s="7" t="n"/>
      <c r="C4" s="7" t="n"/>
      <c r="D4" s="7" t="n"/>
    </row>
    <row r="5" ht="16.5" customHeight="1" s="54">
      <c r="A5" s="9" t="inlineStr">
        <is>
          <t>Bramble Hill Foods makes granola, nut butters and snack bars sold to grocers, club stores and online.</t>
        </is>
      </c>
    </row>
    <row r="6" ht="16.5" customHeight="1" s="54">
      <c r="A6" s="9" t="inlineStr">
        <is>
          <t>LTM = Jul-25 to Jun-26. Prior LTM = Jul-24 to Jun-25. The sponsor would close at the end of the LTM period.</t>
        </is>
      </c>
    </row>
    <row r="7" ht="16.5" customHeight="1" s="54">
      <c r="A7" s="9" t="inlineStr">
        <is>
          <t>The Data Pack tab holds every invoice line for Jul-24 to Jun-26, exported from the company's system (dollars).</t>
        </is>
      </c>
    </row>
    <row r="8" ht="30" customHeight="1" s="54">
      <c r="A8" s="9" t="inlineStr">
        <is>
          <t>The Data Pack contains five records to exclude: a repeated invoice number (keep the first), a record with negative units, a record with no customer, a record dated outside Jul-24 to Jun-26, and a record whose unit price is more than 5x the product's average price.</t>
        </is>
      </c>
    </row>
    <row r="9" ht="30" customHeight="1" s="54">
      <c r="A9" s="9" t="inlineStr">
        <is>
          <t>Crestline Grocers gave written notice after the LTM period closed that it will not renew its supply agreement. Its last order ships in the quarter after closing.</t>
        </is>
      </c>
    </row>
    <row r="10" ht="14.25" customHeight="1" s="54"/>
    <row r="11" ht="14.25" customHeight="1" s="54">
      <c r="A11" s="10" t="inlineStr">
        <is>
          <t>CIM: FY2025 revenue (Jan-Dec 2025)</t>
        </is>
      </c>
      <c r="B11" s="12" t="n">
        <v>59.9</v>
      </c>
    </row>
    <row r="12" ht="14.25" customHeight="1" s="54">
      <c r="A12" s="10" t="inlineStr">
        <is>
          <t>CIM: FY2025 gross margin</t>
        </is>
      </c>
      <c r="B12" s="13" t="n">
        <v>0.323</v>
      </c>
    </row>
    <row r="13" ht="14.25" customHeight="1" s="54">
      <c r="A13" s="10" t="inlineStr">
        <is>
          <t>CIM: FY2025 reported EBITDA</t>
        </is>
      </c>
      <c r="B13" s="12" t="n">
        <v>7.2</v>
      </c>
    </row>
    <row r="14" ht="14.25" customHeight="1" s="54"/>
    <row r="15" ht="14.25" customHeight="1" s="54">
      <c r="A15" s="7" t="inlineStr">
        <is>
          <t>Exhibit 2. Management EBITDA bridge, LTM</t>
        </is>
      </c>
      <c r="B15" s="7" t="inlineStr">
        <is>
          <t>$M</t>
        </is>
      </c>
      <c r="C15" s="7" t="n"/>
      <c r="D15" s="7" t="inlineStr">
        <is>
          <t>Diligence note</t>
        </is>
      </c>
    </row>
    <row r="16" ht="14.25" customHeight="1" s="54">
      <c r="A16" s="10" t="inlineStr">
        <is>
          <t>Reported EBITDA</t>
        </is>
      </c>
      <c r="B16" s="12" t="n">
        <v>7.6</v>
      </c>
    </row>
    <row r="17" ht="42.75" customHeight="1" s="54">
      <c r="A17" s="9" t="inlineStr">
        <is>
          <t>Add-back: Founder compensation above market</t>
        </is>
      </c>
      <c r="B17" s="12" t="n">
        <v>0.65</v>
      </c>
      <c r="D17" s="9" t="inlineStr">
        <is>
          <t>The founder is paid 1.10 a year and retires at close. A search firm quotes 0.45 all-in for a replacement CEO. The 0.65 is already net of the replacement's cost.</t>
        </is>
      </c>
    </row>
    <row r="18" ht="30" customHeight="1" s="54">
      <c r="A18" s="9" t="inlineStr">
        <is>
          <t>Add-back: Co-packer litigation settlement</t>
        </is>
      </c>
      <c r="B18" s="12" t="n">
        <v>0.4</v>
      </c>
      <c r="D18" s="9" t="inlineStr">
        <is>
          <t>One dispute with a former co-packer, settled in the LTM period. Counsel confirms no other open claims.</t>
        </is>
      </c>
    </row>
    <row r="19" ht="42.75" customHeight="1" s="54">
      <c r="A19" s="9" t="inlineStr">
        <is>
          <t>Add-back: Second-line start-up costs</t>
        </is>
      </c>
      <c r="B19" s="12" t="n">
        <v>0.6</v>
      </c>
      <c r="D19" s="9" t="inlineStr">
        <is>
          <t>The second production line started in the LTM period. Scrap and overtime ran 0.60 above normal. The line is at 70% utilization; the plant manager expects scrap to settle over the next two quarters.</t>
        </is>
      </c>
    </row>
    <row r="20" ht="30" customHeight="1" s="54">
      <c r="A20" s="9" t="inlineStr">
        <is>
          <t>Add-back: Pro forma list-price increase</t>
        </is>
      </c>
      <c r="B20" s="12" t="n">
        <v>0.85</v>
      </c>
      <c r="D20" s="9" t="inlineStr">
        <is>
          <t>An 8% list-price increase was announced after the LTM period. No customer has accepted it. Management applied it to LTM volume.</t>
        </is>
      </c>
    </row>
    <row r="21" ht="30" customHeight="1" s="54">
      <c r="A21" s="9" t="inlineStr">
        <is>
          <t>Add-back: New-product slotting fees</t>
        </is>
      </c>
      <c r="B21" s="12" t="n">
        <v>0.35</v>
      </c>
      <c r="D21" s="9" t="inlineStr">
        <is>
          <t>Management calls slotting fees and launch promotions for new items one-time. The company has launched new items in each of the last four years.</t>
        </is>
      </c>
    </row>
    <row r="22" ht="42.75" customHeight="1" s="54">
      <c r="A22" s="9" t="inlineStr">
        <is>
          <t>Add-back: Freight contract savings</t>
        </is>
      </c>
      <c r="B22" s="12" t="n">
        <v>0.4</v>
      </c>
      <c r="D22" s="9" t="inlineStr">
        <is>
          <t>A signed freight contract lowers rates from the last month of the LTM period. One month of savings is in reported EBITDA; management adds back the other eleven.</t>
        </is>
      </c>
    </row>
    <row r="23" ht="14.25" customHeight="1" s="54">
      <c r="A23" s="5" t="inlineStr">
        <is>
          <t>Management Adjusted EBITDA</t>
        </is>
      </c>
      <c r="B23" s="14">
        <f>SUM(B16:B22)</f>
        <v/>
      </c>
    </row>
    <row r="24" ht="14.25" customHeight="1" s="54">
      <c r="A24" s="10" t="inlineStr">
        <is>
          <t>Haircut inclusion %</t>
        </is>
      </c>
      <c r="B24" s="13" t="n">
        <v>0.5</v>
      </c>
    </row>
    <row r="25" ht="14.25" customHeight="1" s="54"/>
    <row r="26" ht="14.25" customHeight="1" s="54">
      <c r="A26" s="7" t="inlineStr">
        <is>
          <t>Exhibit 3. Working capital and LTM cash items</t>
        </is>
      </c>
      <c r="B26" s="7" t="inlineStr">
        <is>
          <t>Jun-25</t>
        </is>
      </c>
      <c r="C26" s="7" t="inlineStr">
        <is>
          <t>Jun-26</t>
        </is>
      </c>
      <c r="D26" s="7" t="n"/>
    </row>
    <row r="27" ht="14.25" customHeight="1" s="54">
      <c r="A27" s="10" t="inlineStr">
        <is>
          <t>Accounts receivable</t>
        </is>
      </c>
      <c r="B27" s="15" t="n">
        <v>6.1</v>
      </c>
      <c r="C27" s="15" t="n">
        <v>6.7</v>
      </c>
    </row>
    <row r="28" ht="14.25" customHeight="1" s="54">
      <c r="A28" s="10" t="inlineStr">
        <is>
          <t>Inventory</t>
        </is>
      </c>
      <c r="B28" s="15" t="n">
        <v>8.4</v>
      </c>
      <c r="C28" s="15" t="n">
        <v>8.85</v>
      </c>
    </row>
    <row r="29" ht="14.25" customHeight="1" s="54">
      <c r="A29" s="10" t="inlineStr">
        <is>
          <t>Prepaid expenses</t>
        </is>
      </c>
      <c r="B29" s="15" t="n">
        <v>0.55</v>
      </c>
      <c r="C29" s="15" t="n">
        <v>0.6</v>
      </c>
    </row>
    <row r="30" ht="14.25" customHeight="1" s="54">
      <c r="A30" s="10" t="inlineStr">
        <is>
          <t>Accounts payable</t>
        </is>
      </c>
      <c r="B30" s="15" t="n">
        <v>4.9</v>
      </c>
      <c r="C30" s="15" t="n">
        <v>5.3</v>
      </c>
    </row>
    <row r="31" ht="14.25" customHeight="1" s="54">
      <c r="A31" s="10" t="inlineStr">
        <is>
          <t>Accrued liabilities</t>
        </is>
      </c>
      <c r="B31" s="15" t="n">
        <v>1.6</v>
      </c>
      <c r="C31" s="15" t="n">
        <v>1.75</v>
      </c>
    </row>
    <row r="32" ht="14.25" customHeight="1" s="54">
      <c r="A32" s="10" t="inlineStr">
        <is>
          <t>LTM capital expenditures (total; use on Work 4)</t>
        </is>
      </c>
      <c r="B32" s="15" t="n">
        <v>2.4</v>
      </c>
    </row>
    <row r="33" ht="14.25" customHeight="1" s="54">
      <c r="A33" s="10" t="inlineStr">
        <is>
          <t>LTM depreciation and amortization</t>
        </is>
      </c>
      <c r="B33" s="15" t="n">
        <v>1.8</v>
      </c>
    </row>
    <row r="34" ht="14.25" customHeight="1" s="54">
      <c r="A34" s="10" t="inlineStr">
        <is>
          <t>Cash tax rate</t>
        </is>
      </c>
      <c r="B34" s="13" t="n">
        <v>0.25</v>
      </c>
    </row>
    <row r="35" ht="14.25" customHeight="1" s="54"/>
    <row r="36" ht="14.25" customHeight="1" s="54">
      <c r="A36" s="7" t="inlineStr">
        <is>
          <t>Exhibit 4. Transaction terms and term sheet</t>
        </is>
      </c>
      <c r="B36" s="7" t="n"/>
      <c r="C36" s="7" t="n"/>
      <c r="D36" s="7" t="inlineStr">
        <is>
          <t>Terms</t>
        </is>
      </c>
    </row>
    <row r="37" ht="14.25" customHeight="1" s="54">
      <c r="A37" s="9" t="inlineStr">
        <is>
          <t>Bid multiple of Management Adjusted EBITDA</t>
        </is>
      </c>
      <c r="B37" s="16" t="n">
        <v>6.75</v>
      </c>
      <c r="D37" s="9" t="inlineStr">
        <is>
          <t>Cash-free, debt-free: enterprise value is the price paid for the equity.</t>
        </is>
      </c>
    </row>
    <row r="38" ht="14.25" customHeight="1" s="54">
      <c r="A38" s="9" t="inlineStr">
        <is>
          <t>Advisory and other fees, % of enterprise value</t>
        </is>
      </c>
      <c r="B38" s="13" t="n">
        <v>0.02</v>
      </c>
    </row>
    <row r="39" ht="14.25" customHeight="1" s="54">
      <c r="A39" s="9" t="inlineStr">
        <is>
          <t>Financing fees, % of term loan B</t>
        </is>
      </c>
      <c r="B39" s="13" t="n">
        <v>0.025</v>
      </c>
    </row>
    <row r="40" ht="14.25" customHeight="1" s="54">
      <c r="A40" s="9" t="inlineStr">
        <is>
          <t>Minimum cash funded at close</t>
        </is>
      </c>
      <c r="B40" s="12" t="n">
        <v>2</v>
      </c>
      <c r="D40" s="9" t="inlineStr">
        <is>
          <t>A use of funds. Cash stays at this level; cash above it sweeps to the term loan B.</t>
        </is>
      </c>
    </row>
    <row r="41" ht="14.25" customHeight="1" s="54">
      <c r="A41" s="9" t="inlineStr">
        <is>
          <t>Fair value of net identifiable assets acquired</t>
        </is>
      </c>
      <c r="B41" s="12" t="n">
        <v>24</v>
      </c>
      <c r="D41" s="9" t="inlineStr">
        <is>
          <t>Goodwill = enterprise value less this figure.</t>
        </is>
      </c>
    </row>
    <row r="42" ht="14.25" customHeight="1" s="54">
      <c r="A42" s="9" t="inlineStr">
        <is>
          <t>Term loan B size, multiple of Management Adjusted EBITDA</t>
        </is>
      </c>
      <c r="B42" s="16" t="n">
        <v>3.5</v>
      </c>
      <c r="D42" s="9" t="inlineStr">
        <is>
          <t>Senior secured. Seven-year term.</t>
        </is>
      </c>
    </row>
    <row r="43" ht="14.25" customHeight="1" s="54">
      <c r="A43" s="9" t="inlineStr">
        <is>
          <t>SOFR</t>
        </is>
      </c>
      <c r="B43" s="17" t="n">
        <v>0.0425</v>
      </c>
    </row>
    <row r="44" ht="14.25" customHeight="1" s="54">
      <c r="A44" s="9" t="inlineStr">
        <is>
          <t>Term loan B spread</t>
        </is>
      </c>
      <c r="B44" s="17" t="n">
        <v>0.0475</v>
      </c>
    </row>
    <row r="45" ht="14.25" customHeight="1" s="54">
      <c r="A45" s="9" t="inlineStr">
        <is>
          <t>Term loan B all-in rate</t>
        </is>
      </c>
      <c r="B45" s="18">
        <f>B43+B44</f>
        <v/>
      </c>
      <c r="D45" s="9" t="inlineStr">
        <is>
          <t>Interest on the average of opening and closing balance.</t>
        </is>
      </c>
    </row>
    <row r="46" ht="14.25" customHeight="1" s="54">
      <c r="A46" s="9" t="inlineStr">
        <is>
          <t>Mandatory amortization, % of original term loan B per year</t>
        </is>
      </c>
      <c r="B46" s="13" t="n">
        <v>0.01</v>
      </c>
    </row>
    <row r="47" ht="14.25" customHeight="1" s="54">
      <c r="A47" s="9" t="inlineStr">
        <is>
          <t>Revolver commitment (undrawn at close)</t>
        </is>
      </c>
      <c r="B47" s="12" t="n">
        <v>8</v>
      </c>
    </row>
    <row r="48" ht="14.25" customHeight="1" s="54">
      <c r="A48" s="9" t="inlineStr">
        <is>
          <t>Commitment fee on the undrawn revolver</t>
        </is>
      </c>
      <c r="B48" s="17" t="n">
        <v>0.005</v>
      </c>
      <c r="D48" s="9" t="inlineStr">
        <is>
          <t>Paid in cash each year.</t>
        </is>
      </c>
    </row>
    <row r="49" ht="14.25" customHeight="1" s="54">
      <c r="A49" s="9" t="inlineStr">
        <is>
          <t>Seller note, % of enterprise value</t>
        </is>
      </c>
      <c r="B49" s="13" t="n">
        <v>0.05</v>
      </c>
      <c r="D49" s="9" t="inlineStr">
        <is>
          <t>Subordinated, unsecured. Repaid in full at exit.</t>
        </is>
      </c>
    </row>
    <row r="50" ht="14.25" customHeight="1" s="54">
      <c r="A50" s="9" t="inlineStr">
        <is>
          <t>Seller note PIK interest rate</t>
        </is>
      </c>
      <c r="B50" s="17" t="n">
        <v>0.08</v>
      </c>
      <c r="D50" s="9" t="inlineStr">
        <is>
          <t>Accrues to the note; no cash paid. Deductible for tax.</t>
        </is>
      </c>
    </row>
    <row r="51" ht="14.25" customHeight="1" s="54">
      <c r="A51" s="9" t="inlineStr">
        <is>
          <t>Maintenance covenant: maximum total net leverage</t>
        </is>
      </c>
      <c r="B51" s="16" t="n">
        <v>6.5</v>
      </c>
      <c r="D51" s="9" t="inlineStr">
        <is>
          <t>Total net debt = term loan B + seller note - cash. Test it on your underwriting EBITDA.</t>
        </is>
      </c>
    </row>
    <row r="52" ht="14.25" customHeight="1" s="54">
      <c r="A52" s="9" t="inlineStr">
        <is>
          <t>Lender downside test: EBITDA decline</t>
        </is>
      </c>
      <c r="B52" s="13" t="n">
        <v>0.2</v>
      </c>
      <c r="D52" s="9" t="inlineStr">
        <is>
          <t>Apply the decline to your underwriting EBITDA. EBITDA / interest must stay at or above the minimum below. The result is capacity for total debt.</t>
        </is>
      </c>
    </row>
    <row r="53" ht="14.25" customHeight="1" s="54">
      <c r="A53" s="9" t="inlineStr">
        <is>
          <t>Lender downside test: minimum EBITDA / interest</t>
        </is>
      </c>
      <c r="B53" s="16" t="n">
        <v>2</v>
      </c>
      <c r="D53" s="9" t="inlineStr">
        <is>
          <t>For this test only: interest = debt x term loan B all-in rate, with no commitment fee.</t>
        </is>
      </c>
    </row>
    <row r="54" ht="14.25" customHeight="1" s="54"/>
    <row r="55" ht="30" customHeight="1" s="54">
      <c r="A55" s="9" t="inlineStr">
        <is>
          <t>Cash interest in the Work 4 coverage ratios = term loan B interest + revolver commitment fee. The lender downside test is the one exception (see above).</t>
        </is>
      </c>
    </row>
    <row r="56" ht="30" customHeight="1" s="54">
      <c r="A56" s="9" t="inlineStr">
        <is>
          <t>Pro forma at close (Work 4): cash interest = term loan B at close (Work 3 C56) x all-in rate + commitment fee. Cash taxes = tax rate x (underwriting EBITDA - D&amp;A - pro forma cash interest - one year of seller note PIK interest).</t>
        </is>
      </c>
    </row>
    <row r="57" ht="14.25" customHeight="1" s="54"/>
    <row r="58" ht="14.25" customHeight="1" s="54">
      <c r="A58" s="7" t="inlineStr">
        <is>
          <t>Exhibit 5. Comparable LMM food transactions</t>
        </is>
      </c>
      <c r="B58" s="7" t="inlineStr">
        <is>
          <t>EV / LTM EBITDA</t>
        </is>
      </c>
      <c r="C58" s="7" t="inlineStr">
        <is>
          <t>Total debt / EBITDA</t>
        </is>
      </c>
      <c r="D58" s="7" t="n"/>
    </row>
    <row r="59" ht="14.25" customHeight="1" s="54">
      <c r="A59" s="10" t="inlineStr">
        <is>
          <t>Larch Snacks</t>
        </is>
      </c>
      <c r="B59" s="19" t="n">
        <v>8.9</v>
      </c>
      <c r="C59" s="19" t="n">
        <v>4.5</v>
      </c>
    </row>
    <row r="60" ht="14.25" customHeight="1" s="54">
      <c r="A60" s="10" t="inlineStr">
        <is>
          <t>Ridgeway Pantry</t>
        </is>
      </c>
      <c r="B60" s="19" t="n">
        <v>7.6</v>
      </c>
      <c r="C60" s="19" t="n">
        <v>3.9</v>
      </c>
    </row>
    <row r="61" ht="14.25" customHeight="1" s="54">
      <c r="A61" s="10" t="inlineStr">
        <is>
          <t>Copperfield Bakeries</t>
        </is>
      </c>
      <c r="B61" s="19" t="n">
        <v>8.4</v>
      </c>
      <c r="C61" s="19" t="n">
        <v>4.4</v>
      </c>
    </row>
    <row r="62" ht="14.25" customHeight="1" s="54">
      <c r="A62" s="10" t="inlineStr">
        <is>
          <t>Northbeam Nutrition</t>
        </is>
      </c>
      <c r="B62" s="19" t="n">
        <v>9.300000000000001</v>
      </c>
      <c r="C62" s="19" t="n">
        <v>4.8</v>
      </c>
    </row>
    <row r="63" ht="14.25" customHeight="1" s="54">
      <c r="A63" s="10" t="inlineStr">
        <is>
          <t>Tamarack Foods</t>
        </is>
      </c>
      <c r="B63" s="19" t="n">
        <v>7.9</v>
      </c>
      <c r="C63" s="19" t="n">
        <v>4.1</v>
      </c>
    </row>
    <row r="64" ht="14.25" customHeight="1" s="54">
      <c r="A64" s="10" t="inlineStr">
        <is>
          <t>Sable Creek Provisions</t>
        </is>
      </c>
      <c r="B64" s="19" t="n">
        <v>8.199999999999999</v>
      </c>
      <c r="C64" s="19" t="n">
        <v>4.3</v>
      </c>
    </row>
    <row r="65" ht="14.25" customHeight="1" s="54">
      <c r="A65" s="4" t="inlineStr">
        <is>
          <t>Use the median of each column. Market debt capacity = median total debt / EBITDA x your underwriting EBITDA.</t>
        </is>
      </c>
    </row>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mergeCells count="7">
    <mergeCell ref="A5:D5"/>
    <mergeCell ref="A56:D56"/>
    <mergeCell ref="A9:D9"/>
    <mergeCell ref="A8:D8"/>
    <mergeCell ref="A6:D6"/>
    <mergeCell ref="A55:D55"/>
    <mergeCell ref="A7:D7"/>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L1014"/>
  <sheetViews>
    <sheetView workbookViewId="0">
      <pane ySplit="4" topLeftCell="A5" activePane="bottomLeft" state="frozen"/>
      <selection pane="bottomLeft" activeCell="B6" sqref="B6"/>
    </sheetView>
  </sheetViews>
  <sheetFormatPr baseColWidth="8" defaultColWidth="14.43" defaultRowHeight="15" customHeight="1" outlineLevelCol="0"/>
  <cols>
    <col width="11" customWidth="1" style="54" min="1" max="1"/>
    <col width="9" customWidth="1" style="54" min="2" max="2"/>
    <col width="11" customWidth="1" style="54" min="3" max="3"/>
    <col width="26" customWidth="1" style="54" min="4" max="4"/>
    <col width="10" customWidth="1" style="54" min="5" max="5"/>
    <col width="12" customWidth="1" style="54" min="6" max="6"/>
    <col width="9" customWidth="1" style="54" min="7" max="7"/>
    <col width="12" customWidth="1" style="54" min="8" max="8"/>
    <col width="14" customWidth="1" style="54" min="9" max="10"/>
    <col width="16" customWidth="1" style="54" min="11" max="26"/>
    <col width="14" customWidth="1" style="54" min="12" max="12"/>
  </cols>
  <sheetData>
    <row r="1" ht="61.5" customHeight="1" s="54">
      <c r="A1" s="1" t="inlineStr">
        <is>
          <t>Data Pack: invoice lines, Jul-24 to Jun-26 (dollars)</t>
        </is>
      </c>
      <c r="B1" s="2" t="n"/>
      <c r="C1" s="2" t="n"/>
      <c r="D1" s="2" t="n"/>
      <c r="E1" s="2" t="n"/>
      <c r="F1" s="2" t="n"/>
      <c r="G1" s="2" t="n"/>
      <c r="H1" s="2" t="n"/>
      <c r="I1" s="2" t="n"/>
      <c r="J1" s="2" t="n"/>
    </row>
    <row r="2" ht="14.25" customHeight="1" s="54">
      <c r="A2" s="4" t="inlineStr">
        <is>
          <t>Do not change columns A to J. Add helper columns from column K.</t>
        </is>
      </c>
    </row>
    <row r="3" ht="14.25" customHeight="1" s="54"/>
    <row r="4" ht="14.25" customHeight="1" s="54">
      <c r="A4" s="7" t="inlineStr">
        <is>
          <t>Invoice</t>
        </is>
      </c>
      <c r="B4" s="7" t="inlineStr">
        <is>
          <t>Month</t>
        </is>
      </c>
      <c r="C4" s="7" t="inlineStr">
        <is>
          <t>Customer ID</t>
        </is>
      </c>
      <c r="D4" s="7" t="inlineStr">
        <is>
          <t>Customer</t>
        </is>
      </c>
      <c r="E4" s="7" t="inlineStr">
        <is>
          <t>Channel</t>
        </is>
      </c>
      <c r="F4" s="7" t="inlineStr">
        <is>
          <t>Product</t>
        </is>
      </c>
      <c r="G4" s="7" t="inlineStr">
        <is>
          <t>Units (cases)</t>
        </is>
      </c>
      <c r="H4" s="7" t="inlineStr">
        <is>
          <t>Net price per case</t>
        </is>
      </c>
      <c r="I4" s="7" t="inlineStr">
        <is>
          <t>Revenue</t>
        </is>
      </c>
      <c r="J4" s="7" t="inlineStr">
        <is>
          <t>COGS</t>
        </is>
      </c>
      <c r="K4" s="7" t="inlineStr">
        <is>
          <t>Period (Excl / LTM / Prior)</t>
        </is>
      </c>
      <c r="L4" s="7" t="inlineStr">
        <is>
          <t>Gross profit</t>
        </is>
      </c>
    </row>
    <row r="5" ht="14.25" customHeight="1" s="54">
      <c r="A5" s="20" t="inlineStr">
        <is>
          <t>BH-39987</t>
        </is>
      </c>
      <c r="B5" s="21" t="n">
        <v>45444</v>
      </c>
      <c r="C5" s="20" t="inlineStr">
        <is>
          <t>C05</t>
        </is>
      </c>
      <c r="D5" s="20" t="inlineStr">
        <is>
          <t>Pioneer Foods Distribution</t>
        </is>
      </c>
      <c r="E5" s="20" t="inlineStr">
        <is>
          <t>Grocery</t>
        </is>
      </c>
      <c r="F5" s="20" t="inlineStr">
        <is>
          <t>Granola</t>
        </is>
      </c>
      <c r="G5" s="22" t="n">
        <v>3050</v>
      </c>
      <c r="H5" s="23" t="n">
        <v>37.62</v>
      </c>
      <c r="I5" s="23" t="n">
        <v>114741</v>
      </c>
      <c r="J5" s="23" t="n">
        <v>79605</v>
      </c>
      <c r="K5">
        <f>IF(OR(COUNTIF($A$5:A5,A5)&gt;1,G5&lt;0,C5="",B5&lt;'Work 1'!$C$6,B5&gt;'Work 1'!$C$7,H5&gt;'Work 1'!$C$8*AVERAGEIF($F$5:$F$1014,F5,$H$5:$H$1014)),"Excl",IF(B5&gt;='Work 1'!$C$5,"LTM","Prior"))</f>
        <v/>
      </c>
      <c r="L5">
        <f>I5-J5</f>
        <v/>
      </c>
    </row>
    <row r="6" ht="14.25" customHeight="1" s="54">
      <c r="A6" s="20" t="inlineStr">
        <is>
          <t>BH-40001</t>
        </is>
      </c>
      <c r="B6" s="21" t="n">
        <v>45474</v>
      </c>
      <c r="C6" s="20" t="inlineStr">
        <is>
          <t>C01</t>
        </is>
      </c>
      <c r="D6" s="20" t="inlineStr">
        <is>
          <t>Northfield Markets</t>
        </is>
      </c>
      <c r="E6" s="20" t="inlineStr">
        <is>
          <t>Grocery</t>
        </is>
      </c>
      <c r="F6" s="20" t="inlineStr">
        <is>
          <t>Granola</t>
        </is>
      </c>
      <c r="G6" s="22" t="n">
        <v>11215</v>
      </c>
      <c r="H6" s="23" t="n">
        <v>39.29</v>
      </c>
      <c r="I6" s="23" t="n">
        <v>440637.35</v>
      </c>
      <c r="J6" s="23" t="n">
        <v>292711.5</v>
      </c>
      <c r="K6">
        <f>IF(OR(COUNTIF($A$5:A6,A6)&gt;1,G6&lt;0,C6="",B6&lt;'Work 1'!$C$6,B6&gt;'Work 1'!$C$7,H6&gt;'Work 1'!$C$8*AVERAGEIF($F$5:$F$1014,F6,$H$5:$H$1014)),"Excl",IF(B6&gt;='Work 1'!$C$5,"LTM","Prior"))</f>
        <v/>
      </c>
      <c r="L6">
        <f>I6-J6</f>
        <v/>
      </c>
    </row>
    <row r="7" ht="14.25" customHeight="1" s="54">
      <c r="A7" s="20" t="inlineStr">
        <is>
          <t>BH-40002</t>
        </is>
      </c>
      <c r="B7" s="21" t="n">
        <v>45474</v>
      </c>
      <c r="C7" s="20" t="inlineStr">
        <is>
          <t>C01</t>
        </is>
      </c>
      <c r="D7" s="20" t="inlineStr">
        <is>
          <t>Northfield Markets</t>
        </is>
      </c>
      <c r="E7" s="20" t="inlineStr">
        <is>
          <t>Grocery</t>
        </is>
      </c>
      <c r="F7" s="20" t="inlineStr">
        <is>
          <t>Nut Butter</t>
        </is>
      </c>
      <c r="G7" s="22" t="n">
        <v>5876</v>
      </c>
      <c r="H7" s="23" t="n">
        <v>52.26</v>
      </c>
      <c r="I7" s="23" t="n">
        <v>307079.76</v>
      </c>
      <c r="J7" s="23" t="n">
        <v>225638.4</v>
      </c>
      <c r="K7">
        <f>IF(OR(COUNTIF($A$5:A7,A7)&gt;1,G7&lt;0,C7="",B7&lt;'Work 1'!$C$6,B7&gt;'Work 1'!$C$7,H7&gt;'Work 1'!$C$8*AVERAGEIF($F$5:$F$1014,F7,$H$5:$H$1014)),"Excl",IF(B7&gt;='Work 1'!$C$5,"LTM","Prior"))</f>
        <v/>
      </c>
      <c r="L7">
        <f>I7-J7</f>
        <v/>
      </c>
    </row>
    <row r="8" ht="14.25" customHeight="1" s="54">
      <c r="A8" s="20" t="inlineStr">
        <is>
          <t>BH-40003</t>
        </is>
      </c>
      <c r="B8" s="21" t="n">
        <v>45474</v>
      </c>
      <c r="C8" s="20" t="inlineStr">
        <is>
          <t>C01</t>
        </is>
      </c>
      <c r="D8" s="20" t="inlineStr">
        <is>
          <t>Northfield Markets</t>
        </is>
      </c>
      <c r="E8" s="20" t="inlineStr">
        <is>
          <t>Grocery</t>
        </is>
      </c>
      <c r="F8" s="20" t="inlineStr">
        <is>
          <t>Snack Bars</t>
        </is>
      </c>
      <c r="G8" s="22" t="n">
        <v>8762</v>
      </c>
      <c r="H8" s="23" t="n">
        <v>30.46</v>
      </c>
      <c r="I8" s="23" t="n">
        <v>266890.52</v>
      </c>
      <c r="J8" s="23" t="n">
        <v>173487.6</v>
      </c>
      <c r="K8">
        <f>IF(OR(COUNTIF($A$5:A8,A8)&gt;1,G8&lt;0,C8="",B8&lt;'Work 1'!$C$6,B8&gt;'Work 1'!$C$7,H8&gt;'Work 1'!$C$8*AVERAGEIF($F$5:$F$1014,F8,$H$5:$H$1014)),"Excl",IF(B8&gt;='Work 1'!$C$5,"LTM","Prior"))</f>
        <v/>
      </c>
      <c r="L8">
        <f>I8-J8</f>
        <v/>
      </c>
    </row>
    <row r="9" ht="14.25" customHeight="1" s="54">
      <c r="A9" s="20" t="inlineStr">
        <is>
          <t>BH-40004</t>
        </is>
      </c>
      <c r="B9" s="21" t="n">
        <v>45474</v>
      </c>
      <c r="C9" s="20" t="inlineStr">
        <is>
          <t>C02</t>
        </is>
      </c>
      <c r="D9" s="20" t="inlineStr">
        <is>
          <t>Crestline Grocers</t>
        </is>
      </c>
      <c r="E9" s="20" t="inlineStr">
        <is>
          <t>Grocery</t>
        </is>
      </c>
      <c r="F9" s="20" t="inlineStr">
        <is>
          <t>Granola</t>
        </is>
      </c>
      <c r="G9" s="22" t="n">
        <v>3614</v>
      </c>
      <c r="H9" s="23" t="n">
        <v>40.55</v>
      </c>
      <c r="I9" s="23" t="n">
        <v>146547.7</v>
      </c>
      <c r="J9" s="23" t="n">
        <v>94325.39999999999</v>
      </c>
      <c r="K9">
        <f>IF(OR(COUNTIF($A$5:A9,A9)&gt;1,G9&lt;0,C9="",B9&lt;'Work 1'!$C$6,B9&gt;'Work 1'!$C$7,H9&gt;'Work 1'!$C$8*AVERAGEIF($F$5:$F$1014,F9,$H$5:$H$1014)),"Excl",IF(B9&gt;='Work 1'!$C$5,"LTM","Prior"))</f>
        <v/>
      </c>
      <c r="L9">
        <f>I9-J9</f>
        <v/>
      </c>
    </row>
    <row r="10" ht="14.25" customHeight="1" s="54">
      <c r="A10" s="20" t="inlineStr">
        <is>
          <t>BH-40005</t>
        </is>
      </c>
      <c r="B10" s="21" t="n">
        <v>45474</v>
      </c>
      <c r="C10" s="20" t="inlineStr">
        <is>
          <t>C02</t>
        </is>
      </c>
      <c r="D10" s="20" t="inlineStr">
        <is>
          <t>Crestline Grocers</t>
        </is>
      </c>
      <c r="E10" s="20" t="inlineStr">
        <is>
          <t>Grocery</t>
        </is>
      </c>
      <c r="F10" s="20" t="inlineStr">
        <is>
          <t>Nut Butter</t>
        </is>
      </c>
      <c r="G10" s="22" t="n">
        <v>1835</v>
      </c>
      <c r="H10" s="23" t="n">
        <v>53.93</v>
      </c>
      <c r="I10" s="23" t="n">
        <v>98961.55</v>
      </c>
      <c r="J10" s="23" t="n">
        <v>70464</v>
      </c>
      <c r="K10">
        <f>IF(OR(COUNTIF($A$5:A10,A10)&gt;1,G10&lt;0,C10="",B10&lt;'Work 1'!$C$6,B10&gt;'Work 1'!$C$7,H10&gt;'Work 1'!$C$8*AVERAGEIF($F$5:$F$1014,F10,$H$5:$H$1014)),"Excl",IF(B10&gt;='Work 1'!$C$5,"LTM","Prior"))</f>
        <v/>
      </c>
      <c r="L10">
        <f>I10-J10</f>
        <v/>
      </c>
    </row>
    <row r="11" ht="14.25" customHeight="1" s="54">
      <c r="A11" s="20" t="inlineStr">
        <is>
          <t>BH-40006</t>
        </is>
      </c>
      <c r="B11" s="21" t="n">
        <v>45474</v>
      </c>
      <c r="C11" s="20" t="inlineStr">
        <is>
          <t>C02</t>
        </is>
      </c>
      <c r="D11" s="20" t="inlineStr">
        <is>
          <t>Crestline Grocers</t>
        </is>
      </c>
      <c r="E11" s="20" t="inlineStr">
        <is>
          <t>Grocery</t>
        </is>
      </c>
      <c r="F11" s="20" t="inlineStr">
        <is>
          <t>Snack Bars</t>
        </is>
      </c>
      <c r="G11" s="22" t="n">
        <v>3081</v>
      </c>
      <c r="H11" s="23" t="n">
        <v>31.43</v>
      </c>
      <c r="I11" s="23" t="n">
        <v>96835.83</v>
      </c>
      <c r="J11" s="23" t="n">
        <v>61003.8</v>
      </c>
      <c r="K11">
        <f>IF(OR(COUNTIF($A$5:A11,A11)&gt;1,G11&lt;0,C11="",B11&lt;'Work 1'!$C$6,B11&gt;'Work 1'!$C$7,H11&gt;'Work 1'!$C$8*AVERAGEIF($F$5:$F$1014,F11,$H$5:$H$1014)),"Excl",IF(B11&gt;='Work 1'!$C$5,"LTM","Prior"))</f>
        <v/>
      </c>
      <c r="L11">
        <f>I11-J11</f>
        <v/>
      </c>
    </row>
    <row r="12" ht="14.25" customHeight="1" s="54">
      <c r="A12" s="20" t="inlineStr">
        <is>
          <t>BH-40007</t>
        </is>
      </c>
      <c r="B12" s="21" t="n">
        <v>45474</v>
      </c>
      <c r="C12" s="20" t="inlineStr">
        <is>
          <t>C03</t>
        </is>
      </c>
      <c r="D12" s="20" t="inlineStr">
        <is>
          <t>ValuClub Warehouse</t>
        </is>
      </c>
      <c r="E12" s="20" t="inlineStr">
        <is>
          <t>Club</t>
        </is>
      </c>
      <c r="F12" s="20" t="inlineStr">
        <is>
          <t>Granola</t>
        </is>
      </c>
      <c r="G12" s="22" t="n">
        <v>10209</v>
      </c>
      <c r="H12" s="23" t="n">
        <v>35.9</v>
      </c>
      <c r="I12" s="23" t="n">
        <v>366503.1</v>
      </c>
      <c r="J12" s="23" t="n">
        <v>266454.9</v>
      </c>
      <c r="K12">
        <f>IF(OR(COUNTIF($A$5:A12,A12)&gt;1,G12&lt;0,C12="",B12&lt;'Work 1'!$C$6,B12&gt;'Work 1'!$C$7,H12&gt;'Work 1'!$C$8*AVERAGEIF($F$5:$F$1014,F12,$H$5:$H$1014)),"Excl",IF(B12&gt;='Work 1'!$C$5,"LTM","Prior"))</f>
        <v/>
      </c>
      <c r="L12">
        <f>I12-J12</f>
        <v/>
      </c>
    </row>
    <row r="13" ht="14.25" customHeight="1" s="54">
      <c r="A13" s="20" t="inlineStr">
        <is>
          <t>BH-40008</t>
        </is>
      </c>
      <c r="B13" s="21" t="n">
        <v>45474</v>
      </c>
      <c r="C13" s="20" t="inlineStr">
        <is>
          <t>C03</t>
        </is>
      </c>
      <c r="D13" s="20" t="inlineStr">
        <is>
          <t>ValuClub Warehouse</t>
        </is>
      </c>
      <c r="E13" s="20" t="inlineStr">
        <is>
          <t>Club</t>
        </is>
      </c>
      <c r="F13" s="20" t="inlineStr">
        <is>
          <t>Snack Bars</t>
        </is>
      </c>
      <c r="G13" s="22" t="n">
        <v>11435</v>
      </c>
      <c r="H13" s="23" t="n">
        <v>27.4</v>
      </c>
      <c r="I13" s="23" t="n">
        <v>313319</v>
      </c>
      <c r="J13" s="23" t="n">
        <v>226413</v>
      </c>
      <c r="K13">
        <f>IF(OR(COUNTIF($A$5:A13,A13)&gt;1,G13&lt;0,C13="",B13&lt;'Work 1'!$C$6,B13&gt;'Work 1'!$C$7,H13&gt;'Work 1'!$C$8*AVERAGEIF($F$5:$F$1014,F13,$H$5:$H$1014)),"Excl",IF(B13&gt;='Work 1'!$C$5,"LTM","Prior"))</f>
        <v/>
      </c>
      <c r="L13">
        <f>I13-J13</f>
        <v/>
      </c>
    </row>
    <row r="14" ht="14.25" customHeight="1" s="54">
      <c r="A14" s="20" t="inlineStr">
        <is>
          <t>BH-40009</t>
        </is>
      </c>
      <c r="B14" s="21" t="n">
        <v>45474</v>
      </c>
      <c r="C14" s="20" t="inlineStr">
        <is>
          <t>C04</t>
        </is>
      </c>
      <c r="D14" s="20" t="inlineStr">
        <is>
          <t>Harvest Lane Co-op</t>
        </is>
      </c>
      <c r="E14" s="20" t="inlineStr">
        <is>
          <t>Grocery</t>
        </is>
      </c>
      <c r="F14" s="20" t="inlineStr">
        <is>
          <t>Granola</t>
        </is>
      </c>
      <c r="G14" s="22" t="n">
        <v>2457</v>
      </c>
      <c r="H14" s="23" t="n">
        <v>41.8</v>
      </c>
      <c r="I14" s="23" t="n">
        <v>102702.6</v>
      </c>
      <c r="J14" s="23" t="n">
        <v>64127.7</v>
      </c>
      <c r="K14">
        <f>IF(OR(COUNTIF($A$5:A14,A14)&gt;1,G14&lt;0,C14="",B14&lt;'Work 1'!$C$6,B14&gt;'Work 1'!$C$7,H14&gt;'Work 1'!$C$8*AVERAGEIF($F$5:$F$1014,F14,$H$5:$H$1014)),"Excl",IF(B14&gt;='Work 1'!$C$5,"LTM","Prior"))</f>
        <v/>
      </c>
      <c r="L14">
        <f>I14-J14</f>
        <v/>
      </c>
    </row>
    <row r="15" ht="14.25" customHeight="1" s="54">
      <c r="A15" s="20" t="inlineStr">
        <is>
          <t>BH-40010</t>
        </is>
      </c>
      <c r="B15" s="21" t="n">
        <v>45474</v>
      </c>
      <c r="C15" s="20" t="inlineStr">
        <is>
          <t>C04</t>
        </is>
      </c>
      <c r="D15" s="20" t="inlineStr">
        <is>
          <t>Harvest Lane Co-op</t>
        </is>
      </c>
      <c r="E15" s="20" t="inlineStr">
        <is>
          <t>Grocery</t>
        </is>
      </c>
      <c r="F15" s="20" t="inlineStr">
        <is>
          <t>Nut Butter</t>
        </is>
      </c>
      <c r="G15" s="22" t="n">
        <v>1349</v>
      </c>
      <c r="H15" s="23" t="n">
        <v>55.6</v>
      </c>
      <c r="I15" s="23" t="n">
        <v>75004.39999999999</v>
      </c>
      <c r="J15" s="23" t="n">
        <v>51801.6</v>
      </c>
      <c r="K15">
        <f>IF(OR(COUNTIF($A$5:A15,A15)&gt;1,G15&lt;0,C15="",B15&lt;'Work 1'!$C$6,B15&gt;'Work 1'!$C$7,H15&gt;'Work 1'!$C$8*AVERAGEIF($F$5:$F$1014,F15,$H$5:$H$1014)),"Excl",IF(B15&gt;='Work 1'!$C$5,"LTM","Prior"))</f>
        <v/>
      </c>
      <c r="L15">
        <f>I15-J15</f>
        <v/>
      </c>
    </row>
    <row r="16" ht="14.25" customHeight="1" s="54">
      <c r="A16" s="20" t="inlineStr">
        <is>
          <t>BH-40011</t>
        </is>
      </c>
      <c r="B16" s="21" t="n">
        <v>45474</v>
      </c>
      <c r="C16" s="20" t="inlineStr">
        <is>
          <t>C04</t>
        </is>
      </c>
      <c r="D16" s="20" t="inlineStr">
        <is>
          <t>Harvest Lane Co-op</t>
        </is>
      </c>
      <c r="E16" s="20" t="inlineStr">
        <is>
          <t>Grocery</t>
        </is>
      </c>
      <c r="F16" s="20" t="inlineStr">
        <is>
          <t>Snack Bars</t>
        </is>
      </c>
      <c r="G16" s="22" t="n">
        <v>1643</v>
      </c>
      <c r="H16" s="23" t="n">
        <v>32.4</v>
      </c>
      <c r="I16" s="23" t="n">
        <v>53233.2</v>
      </c>
      <c r="J16" s="23" t="n">
        <v>32531.4</v>
      </c>
      <c r="K16">
        <f>IF(OR(COUNTIF($A$5:A16,A16)&gt;1,G16&lt;0,C16="",B16&lt;'Work 1'!$C$6,B16&gt;'Work 1'!$C$7,H16&gt;'Work 1'!$C$8*AVERAGEIF($F$5:$F$1014,F16,$H$5:$H$1014)),"Excl",IF(B16&gt;='Work 1'!$C$5,"LTM","Prior"))</f>
        <v/>
      </c>
      <c r="L16">
        <f>I16-J16</f>
        <v/>
      </c>
    </row>
    <row r="17" ht="14.25" customHeight="1" s="54">
      <c r="A17" s="20" t="inlineStr">
        <is>
          <t>BH-40012</t>
        </is>
      </c>
      <c r="B17" s="21" t="n">
        <v>45474</v>
      </c>
      <c r="C17" s="20" t="inlineStr">
        <is>
          <t>C05</t>
        </is>
      </c>
      <c r="D17" s="20" t="inlineStr">
        <is>
          <t>Pioneer Foods Distribution</t>
        </is>
      </c>
      <c r="E17" s="20" t="inlineStr">
        <is>
          <t>Grocery</t>
        </is>
      </c>
      <c r="F17" s="20" t="inlineStr">
        <is>
          <t>Granola</t>
        </is>
      </c>
      <c r="G17" s="22" t="n">
        <v>3318</v>
      </c>
      <c r="H17" s="23" t="n">
        <v>37.62</v>
      </c>
      <c r="I17" s="23" t="n">
        <v>124823.16</v>
      </c>
      <c r="J17" s="23" t="n">
        <v>86599.8</v>
      </c>
      <c r="K17">
        <f>IF(OR(COUNTIF($A$5:A17,A17)&gt;1,G17&lt;0,C17="",B17&lt;'Work 1'!$C$6,B17&gt;'Work 1'!$C$7,H17&gt;'Work 1'!$C$8*AVERAGEIF($F$5:$F$1014,F17,$H$5:$H$1014)),"Excl",IF(B17&gt;='Work 1'!$C$5,"LTM","Prior"))</f>
        <v/>
      </c>
      <c r="L17">
        <f>I17-J17</f>
        <v/>
      </c>
    </row>
    <row r="18" ht="14.25" customHeight="1" s="54">
      <c r="A18" s="20" t="inlineStr">
        <is>
          <t>BH-40013</t>
        </is>
      </c>
      <c r="B18" s="21" t="n">
        <v>45474</v>
      </c>
      <c r="C18" s="20" t="inlineStr">
        <is>
          <t>C05</t>
        </is>
      </c>
      <c r="D18" s="20" t="inlineStr">
        <is>
          <t>Pioneer Foods Distribution</t>
        </is>
      </c>
      <c r="E18" s="20" t="inlineStr">
        <is>
          <t>Grocery</t>
        </is>
      </c>
      <c r="F18" s="20" t="inlineStr">
        <is>
          <t>Nut Butter</t>
        </is>
      </c>
      <c r="G18" s="22" t="n">
        <v>1879</v>
      </c>
      <c r="H18" s="23" t="n">
        <v>50.04</v>
      </c>
      <c r="I18" s="23" t="n">
        <v>94025.16</v>
      </c>
      <c r="J18" s="23" t="n">
        <v>72153.60000000001</v>
      </c>
      <c r="K18">
        <f>IF(OR(COUNTIF($A$5:A18,A18)&gt;1,G18&lt;0,C18="",B18&lt;'Work 1'!$C$6,B18&gt;'Work 1'!$C$7,H18&gt;'Work 1'!$C$8*AVERAGEIF($F$5:$F$1014,F18,$H$5:$H$1014)),"Excl",IF(B18&gt;='Work 1'!$C$5,"LTM","Prior"))</f>
        <v/>
      </c>
      <c r="L18">
        <f>I18-J18</f>
        <v/>
      </c>
    </row>
    <row r="19" ht="14.25" customHeight="1" s="54">
      <c r="A19" s="20" t="inlineStr">
        <is>
          <t>BH-40014</t>
        </is>
      </c>
      <c r="B19" s="21" t="n">
        <v>45474</v>
      </c>
      <c r="C19" s="20" t="inlineStr">
        <is>
          <t>C05</t>
        </is>
      </c>
      <c r="D19" s="20" t="inlineStr">
        <is>
          <t>Pioneer Foods Distribution</t>
        </is>
      </c>
      <c r="E19" s="20" t="inlineStr">
        <is>
          <t>Grocery</t>
        </is>
      </c>
      <c r="F19" s="20" t="inlineStr">
        <is>
          <t>Snack Bars</t>
        </is>
      </c>
      <c r="G19" s="22" t="n">
        <v>3000</v>
      </c>
      <c r="H19" s="23" t="n">
        <v>29.16</v>
      </c>
      <c r="I19" s="23" t="n">
        <v>87480</v>
      </c>
      <c r="J19" s="23" t="n">
        <v>59400</v>
      </c>
      <c r="K19">
        <f>IF(OR(COUNTIF($A$5:A19,A19)&gt;1,G19&lt;0,C19="",B19&lt;'Work 1'!$C$6,B19&gt;'Work 1'!$C$7,H19&gt;'Work 1'!$C$8*AVERAGEIF($F$5:$F$1014,F19,$H$5:$H$1014)),"Excl",IF(B19&gt;='Work 1'!$C$5,"LTM","Prior"))</f>
        <v/>
      </c>
      <c r="L19">
        <f>I19-J19</f>
        <v/>
      </c>
    </row>
    <row r="20" ht="14.25" customHeight="1" s="54">
      <c r="A20" s="20" t="inlineStr">
        <is>
          <t>BH-40015</t>
        </is>
      </c>
      <c r="B20" s="21" t="n">
        <v>45474</v>
      </c>
      <c r="C20" s="20" t="inlineStr">
        <is>
          <t>C06</t>
        </is>
      </c>
      <c r="D20" s="20" t="inlineStr">
        <is>
          <t>Summit Club Stores</t>
        </is>
      </c>
      <c r="E20" s="20" t="inlineStr">
        <is>
          <t>Club</t>
        </is>
      </c>
      <c r="F20" s="20" t="inlineStr">
        <is>
          <t>Granola</t>
        </is>
      </c>
      <c r="G20" s="22" t="n">
        <v>4249</v>
      </c>
      <c r="H20" s="23" t="n">
        <v>35.9</v>
      </c>
      <c r="I20" s="23" t="n">
        <v>152539.1</v>
      </c>
      <c r="J20" s="23" t="n">
        <v>110898.9</v>
      </c>
      <c r="K20">
        <f>IF(OR(COUNTIF($A$5:A20,A20)&gt;1,G20&lt;0,C20="",B20&lt;'Work 1'!$C$6,B20&gt;'Work 1'!$C$7,H20&gt;'Work 1'!$C$8*AVERAGEIF($F$5:$F$1014,F20,$H$5:$H$1014)),"Excl",IF(B20&gt;='Work 1'!$C$5,"LTM","Prior"))</f>
        <v/>
      </c>
      <c r="L20">
        <f>I20-J20</f>
        <v/>
      </c>
    </row>
    <row r="21" ht="14.25" customHeight="1" s="54">
      <c r="A21" s="20" t="inlineStr">
        <is>
          <t>BH-40016</t>
        </is>
      </c>
      <c r="B21" s="21" t="n">
        <v>45474</v>
      </c>
      <c r="C21" s="20" t="inlineStr">
        <is>
          <t>C06</t>
        </is>
      </c>
      <c r="D21" s="20" t="inlineStr">
        <is>
          <t>Summit Club Stores</t>
        </is>
      </c>
      <c r="E21" s="20" t="inlineStr">
        <is>
          <t>Club</t>
        </is>
      </c>
      <c r="F21" s="20" t="inlineStr">
        <is>
          <t>Nut Butter</t>
        </is>
      </c>
      <c r="G21" s="22" t="n">
        <v>2313</v>
      </c>
      <c r="H21" s="23" t="n">
        <v>47.8</v>
      </c>
      <c r="I21" s="23" t="n">
        <v>110561.4</v>
      </c>
      <c r="J21" s="23" t="n">
        <v>88819.2</v>
      </c>
      <c r="K21">
        <f>IF(OR(COUNTIF($A$5:A21,A21)&gt;1,G21&lt;0,C21="",B21&lt;'Work 1'!$C$6,B21&gt;'Work 1'!$C$7,H21&gt;'Work 1'!$C$8*AVERAGEIF($F$5:$F$1014,F21,$H$5:$H$1014)),"Excl",IF(B21&gt;='Work 1'!$C$5,"LTM","Prior"))</f>
        <v/>
      </c>
      <c r="L21">
        <f>I21-J21</f>
        <v/>
      </c>
    </row>
    <row r="22" ht="14.25" customHeight="1" s="54">
      <c r="A22" s="20" t="inlineStr">
        <is>
          <t>BH-40017</t>
        </is>
      </c>
      <c r="B22" s="21" t="n">
        <v>45474</v>
      </c>
      <c r="C22" s="20" t="inlineStr">
        <is>
          <t>C07</t>
        </is>
      </c>
      <c r="D22" s="20" t="inlineStr">
        <is>
          <t>Bramble Hill Online Store</t>
        </is>
      </c>
      <c r="E22" s="20" t="inlineStr">
        <is>
          <t>Online</t>
        </is>
      </c>
      <c r="F22" s="20" t="inlineStr">
        <is>
          <t>Granola</t>
        </is>
      </c>
      <c r="G22" s="22" t="n">
        <v>3006</v>
      </c>
      <c r="H22" s="23" t="n">
        <v>47.5</v>
      </c>
      <c r="I22" s="23" t="n">
        <v>142785</v>
      </c>
      <c r="J22" s="23" t="n">
        <v>78456.60000000001</v>
      </c>
      <c r="K22">
        <f>IF(OR(COUNTIF($A$5:A22,A22)&gt;1,G22&lt;0,C22="",B22&lt;'Work 1'!$C$6,B22&gt;'Work 1'!$C$7,H22&gt;'Work 1'!$C$8*AVERAGEIF($F$5:$F$1014,F22,$H$5:$H$1014)),"Excl",IF(B22&gt;='Work 1'!$C$5,"LTM","Prior"))</f>
        <v/>
      </c>
      <c r="L22">
        <f>I22-J22</f>
        <v/>
      </c>
    </row>
    <row r="23" ht="14.25" customHeight="1" s="54">
      <c r="A23" s="20" t="inlineStr">
        <is>
          <t>BH-40018</t>
        </is>
      </c>
      <c r="B23" s="21" t="n">
        <v>45474</v>
      </c>
      <c r="C23" s="20" t="inlineStr">
        <is>
          <t>C07</t>
        </is>
      </c>
      <c r="D23" s="20" t="inlineStr">
        <is>
          <t>Bramble Hill Online Store</t>
        </is>
      </c>
      <c r="E23" s="20" t="inlineStr">
        <is>
          <t>Online</t>
        </is>
      </c>
      <c r="F23" s="20" t="inlineStr">
        <is>
          <t>Nut Butter</t>
        </is>
      </c>
      <c r="G23" s="22" t="n">
        <v>1687</v>
      </c>
      <c r="H23" s="23" t="n">
        <v>61.9</v>
      </c>
      <c r="I23" s="23" t="n">
        <v>104425.3</v>
      </c>
      <c r="J23" s="23" t="n">
        <v>64780.8</v>
      </c>
      <c r="K23">
        <f>IF(OR(COUNTIF($A$5:A23,A23)&gt;1,G23&lt;0,C23="",B23&lt;'Work 1'!$C$6,B23&gt;'Work 1'!$C$7,H23&gt;'Work 1'!$C$8*AVERAGEIF($F$5:$F$1014,F23,$H$5:$H$1014)),"Excl",IF(B23&gt;='Work 1'!$C$5,"LTM","Prior"))</f>
        <v/>
      </c>
      <c r="L23">
        <f>I23-J23</f>
        <v/>
      </c>
    </row>
    <row r="24" ht="14.25" customHeight="1" s="54">
      <c r="A24" s="20" t="inlineStr">
        <is>
          <t>BH-40019</t>
        </is>
      </c>
      <c r="B24" s="21" t="n">
        <v>45474</v>
      </c>
      <c r="C24" s="20" t="inlineStr">
        <is>
          <t>C07</t>
        </is>
      </c>
      <c r="D24" s="20" t="inlineStr">
        <is>
          <t>Bramble Hill Online Store</t>
        </is>
      </c>
      <c r="E24" s="20" t="inlineStr">
        <is>
          <t>Online</t>
        </is>
      </c>
      <c r="F24" s="20" t="inlineStr">
        <is>
          <t>Snack Bars</t>
        </is>
      </c>
      <c r="G24" s="22" t="n">
        <v>2176</v>
      </c>
      <c r="H24" s="23" t="n">
        <v>37.8</v>
      </c>
      <c r="I24" s="23" t="n">
        <v>82252.8</v>
      </c>
      <c r="J24" s="23" t="n">
        <v>43084.8</v>
      </c>
      <c r="K24">
        <f>IF(OR(COUNTIF($A$5:A24,A24)&gt;1,G24&lt;0,C24="",B24&lt;'Work 1'!$C$6,B24&gt;'Work 1'!$C$7,H24&gt;'Work 1'!$C$8*AVERAGEIF($F$5:$F$1014,F24,$H$5:$H$1014)),"Excl",IF(B24&gt;='Work 1'!$C$5,"LTM","Prior"))</f>
        <v/>
      </c>
      <c r="L24">
        <f>I24-J24</f>
        <v/>
      </c>
    </row>
    <row r="25" ht="14.25" customHeight="1" s="54">
      <c r="A25" s="20" t="inlineStr">
        <is>
          <t>BH-40020</t>
        </is>
      </c>
      <c r="B25" s="21" t="n">
        <v>45474</v>
      </c>
      <c r="C25" s="20" t="inlineStr">
        <is>
          <t>C08</t>
        </is>
      </c>
      <c r="D25" s="20" t="inlineStr">
        <is>
          <t>Online Marketplace</t>
        </is>
      </c>
      <c r="E25" s="20" t="inlineStr">
        <is>
          <t>Online</t>
        </is>
      </c>
      <c r="F25" s="20" t="inlineStr">
        <is>
          <t>Granola</t>
        </is>
      </c>
      <c r="G25" s="22" t="n">
        <v>2635</v>
      </c>
      <c r="H25" s="23" t="n">
        <v>41.8</v>
      </c>
      <c r="I25" s="23" t="n">
        <v>110143</v>
      </c>
      <c r="J25" s="23" t="n">
        <v>68773.5</v>
      </c>
      <c r="K25">
        <f>IF(OR(COUNTIF($A$5:A25,A25)&gt;1,G25&lt;0,C25="",B25&lt;'Work 1'!$C$6,B25&gt;'Work 1'!$C$7,H25&gt;'Work 1'!$C$8*AVERAGEIF($F$5:$F$1014,F25,$H$5:$H$1014)),"Excl",IF(B25&gt;='Work 1'!$C$5,"LTM","Prior"))</f>
        <v/>
      </c>
      <c r="L25">
        <f>I25-J25</f>
        <v/>
      </c>
    </row>
    <row r="26" ht="14.25" customHeight="1" s="54">
      <c r="A26" s="20" t="inlineStr">
        <is>
          <t>BH-40021</t>
        </is>
      </c>
      <c r="B26" s="21" t="n">
        <v>45474</v>
      </c>
      <c r="C26" s="20" t="inlineStr">
        <is>
          <t>C08</t>
        </is>
      </c>
      <c r="D26" s="20" t="inlineStr">
        <is>
          <t>Online Marketplace</t>
        </is>
      </c>
      <c r="E26" s="20" t="inlineStr">
        <is>
          <t>Online</t>
        </is>
      </c>
      <c r="F26" s="20" t="inlineStr">
        <is>
          <t>Nut Butter</t>
        </is>
      </c>
      <c r="G26" s="22" t="n">
        <v>1410</v>
      </c>
      <c r="H26" s="23" t="n">
        <v>54.47</v>
      </c>
      <c r="I26" s="23" t="n">
        <v>76802.7</v>
      </c>
      <c r="J26" s="23" t="n">
        <v>54144</v>
      </c>
      <c r="K26">
        <f>IF(OR(COUNTIF($A$5:A26,A26)&gt;1,G26&lt;0,C26="",B26&lt;'Work 1'!$C$6,B26&gt;'Work 1'!$C$7,H26&gt;'Work 1'!$C$8*AVERAGEIF($F$5:$F$1014,F26,$H$5:$H$1014)),"Excl",IF(B26&gt;='Work 1'!$C$5,"LTM","Prior"))</f>
        <v/>
      </c>
      <c r="L26">
        <f>I26-J26</f>
        <v/>
      </c>
    </row>
    <row r="27" ht="14.25" customHeight="1" s="54">
      <c r="A27" s="20" t="inlineStr">
        <is>
          <t>BH-40022</t>
        </is>
      </c>
      <c r="B27" s="21" t="n">
        <v>45474</v>
      </c>
      <c r="C27" s="20" t="inlineStr">
        <is>
          <t>C08</t>
        </is>
      </c>
      <c r="D27" s="20" t="inlineStr">
        <is>
          <t>Online Marketplace</t>
        </is>
      </c>
      <c r="E27" s="20" t="inlineStr">
        <is>
          <t>Online</t>
        </is>
      </c>
      <c r="F27" s="20" t="inlineStr">
        <is>
          <t>Snack Bars</t>
        </is>
      </c>
      <c r="G27" s="22" t="n">
        <v>2367</v>
      </c>
      <c r="H27" s="23" t="n">
        <v>33.26</v>
      </c>
      <c r="I27" s="23" t="n">
        <v>78726.42</v>
      </c>
      <c r="J27" s="23" t="n">
        <v>46866.6</v>
      </c>
      <c r="K27">
        <f>IF(OR(COUNTIF($A$5:A27,A27)&gt;1,G27&lt;0,C27="",B27&lt;'Work 1'!$C$6,B27&gt;'Work 1'!$C$7,H27&gt;'Work 1'!$C$8*AVERAGEIF($F$5:$F$1014,F27,$H$5:$H$1014)),"Excl",IF(B27&gt;='Work 1'!$C$5,"LTM","Prior"))</f>
        <v/>
      </c>
      <c r="L27">
        <f>I27-J27</f>
        <v/>
      </c>
    </row>
    <row r="28" ht="14.25" customHeight="1" s="54">
      <c r="A28" s="20" t="inlineStr">
        <is>
          <t>BH-40023</t>
        </is>
      </c>
      <c r="B28" s="21" t="n">
        <v>45474</v>
      </c>
      <c r="C28" s="20" t="inlineStr">
        <is>
          <t>C09</t>
        </is>
      </c>
      <c r="D28" s="20" t="inlineStr">
        <is>
          <t>Maple Ridge Grocers</t>
        </is>
      </c>
      <c r="E28" s="20" t="inlineStr">
        <is>
          <t>Grocery</t>
        </is>
      </c>
      <c r="F28" s="20" t="inlineStr">
        <is>
          <t>Granola</t>
        </is>
      </c>
      <c r="G28" s="22" t="n">
        <v>1458</v>
      </c>
      <c r="H28" s="23" t="n">
        <v>41.8</v>
      </c>
      <c r="I28" s="23" t="n">
        <v>60944.4</v>
      </c>
      <c r="J28" s="23" t="n">
        <v>38053.8</v>
      </c>
      <c r="K28">
        <f>IF(OR(COUNTIF($A$5:A28,A28)&gt;1,G28&lt;0,C28="",B28&lt;'Work 1'!$C$6,B28&gt;'Work 1'!$C$7,H28&gt;'Work 1'!$C$8*AVERAGEIF($F$5:$F$1014,F28,$H$5:$H$1014)),"Excl",IF(B28&gt;='Work 1'!$C$5,"LTM","Prior"))</f>
        <v/>
      </c>
      <c r="L28">
        <f>I28-J28</f>
        <v/>
      </c>
    </row>
    <row r="29" ht="14.25" customHeight="1" s="54">
      <c r="A29" s="20" t="inlineStr">
        <is>
          <t>BH-40024</t>
        </is>
      </c>
      <c r="B29" s="21" t="n">
        <v>45474</v>
      </c>
      <c r="C29" s="20" t="inlineStr">
        <is>
          <t>C09</t>
        </is>
      </c>
      <c r="D29" s="20" t="inlineStr">
        <is>
          <t>Maple Ridge Grocers</t>
        </is>
      </c>
      <c r="E29" s="20" t="inlineStr">
        <is>
          <t>Grocery</t>
        </is>
      </c>
      <c r="F29" s="20" t="inlineStr">
        <is>
          <t>Snack Bars</t>
        </is>
      </c>
      <c r="G29" s="22" t="n">
        <v>1196</v>
      </c>
      <c r="H29" s="23" t="n">
        <v>32.4</v>
      </c>
      <c r="I29" s="23" t="n">
        <v>38750.4</v>
      </c>
      <c r="J29" s="23" t="n">
        <v>23680.8</v>
      </c>
      <c r="K29">
        <f>IF(OR(COUNTIF($A$5:A29,A29)&gt;1,G29&lt;0,C29="",B29&lt;'Work 1'!$C$6,B29&gt;'Work 1'!$C$7,H29&gt;'Work 1'!$C$8*AVERAGEIF($F$5:$F$1014,F29,$H$5:$H$1014)),"Excl",IF(B29&gt;='Work 1'!$C$5,"LTM","Prior"))</f>
        <v/>
      </c>
      <c r="L29">
        <f>I29-J29</f>
        <v/>
      </c>
    </row>
    <row r="30" ht="14.25" customHeight="1" s="54">
      <c r="A30" s="20" t="inlineStr">
        <is>
          <t>BH-40025</t>
        </is>
      </c>
      <c r="B30" s="21" t="n">
        <v>45474</v>
      </c>
      <c r="C30" s="20" t="inlineStr">
        <is>
          <t>C10</t>
        </is>
      </c>
      <c r="D30" s="20" t="inlineStr">
        <is>
          <t>Lakeshore Foods</t>
        </is>
      </c>
      <c r="E30" s="20" t="inlineStr">
        <is>
          <t>Grocery</t>
        </is>
      </c>
      <c r="F30" s="20" t="inlineStr">
        <is>
          <t>Granola</t>
        </is>
      </c>
      <c r="G30" s="22" t="n">
        <v>1292</v>
      </c>
      <c r="H30" s="23" t="n">
        <v>41.8</v>
      </c>
      <c r="I30" s="23" t="n">
        <v>54005.6</v>
      </c>
      <c r="J30" s="23" t="n">
        <v>33721.2</v>
      </c>
      <c r="K30">
        <f>IF(OR(COUNTIF($A$5:A30,A30)&gt;1,G30&lt;0,C30="",B30&lt;'Work 1'!$C$6,B30&gt;'Work 1'!$C$7,H30&gt;'Work 1'!$C$8*AVERAGEIF($F$5:$F$1014,F30,$H$5:$H$1014)),"Excl",IF(B30&gt;='Work 1'!$C$5,"LTM","Prior"))</f>
        <v/>
      </c>
      <c r="L30">
        <f>I30-J30</f>
        <v/>
      </c>
    </row>
    <row r="31" ht="14.25" customHeight="1" s="54">
      <c r="A31" s="20" t="inlineStr">
        <is>
          <t>BH-40026</t>
        </is>
      </c>
      <c r="B31" s="21" t="n">
        <v>45474</v>
      </c>
      <c r="C31" s="20" t="inlineStr">
        <is>
          <t>C10</t>
        </is>
      </c>
      <c r="D31" s="20" t="inlineStr">
        <is>
          <t>Lakeshore Foods</t>
        </is>
      </c>
      <c r="E31" s="20" t="inlineStr">
        <is>
          <t>Grocery</t>
        </is>
      </c>
      <c r="F31" s="20" t="inlineStr">
        <is>
          <t>Nut Butter</t>
        </is>
      </c>
      <c r="G31" s="22" t="n">
        <v>566</v>
      </c>
      <c r="H31" s="23" t="n">
        <v>55.6</v>
      </c>
      <c r="I31" s="23" t="n">
        <v>31469.6</v>
      </c>
      <c r="J31" s="23" t="n">
        <v>21734.4</v>
      </c>
      <c r="K31">
        <f>IF(OR(COUNTIF($A$5:A31,A31)&gt;1,G31&lt;0,C31="",B31&lt;'Work 1'!$C$6,B31&gt;'Work 1'!$C$7,H31&gt;'Work 1'!$C$8*AVERAGEIF($F$5:$F$1014,F31,$H$5:$H$1014)),"Excl",IF(B31&gt;='Work 1'!$C$5,"LTM","Prior"))</f>
        <v/>
      </c>
      <c r="L31">
        <f>I31-J31</f>
        <v/>
      </c>
    </row>
    <row r="32" ht="14.25" customHeight="1" s="54">
      <c r="A32" s="20" t="inlineStr">
        <is>
          <t>BH-40027</t>
        </is>
      </c>
      <c r="B32" s="21" t="n">
        <v>45474</v>
      </c>
      <c r="C32" s="20" t="inlineStr">
        <is>
          <t>C11</t>
        </is>
      </c>
      <c r="D32" s="20" t="inlineStr">
        <is>
          <t>Copper Valley Market</t>
        </is>
      </c>
      <c r="E32" s="20" t="inlineStr">
        <is>
          <t>Grocery</t>
        </is>
      </c>
      <c r="F32" s="20" t="inlineStr">
        <is>
          <t>Granola</t>
        </is>
      </c>
      <c r="G32" s="22" t="n">
        <v>1104</v>
      </c>
      <c r="H32" s="23" t="n">
        <v>41.8</v>
      </c>
      <c r="I32" s="23" t="n">
        <v>46147.2</v>
      </c>
      <c r="J32" s="23" t="n">
        <v>28814.4</v>
      </c>
      <c r="K32">
        <f>IF(OR(COUNTIF($A$5:A32,A32)&gt;1,G32&lt;0,C32="",B32&lt;'Work 1'!$C$6,B32&gt;'Work 1'!$C$7,H32&gt;'Work 1'!$C$8*AVERAGEIF($F$5:$F$1014,F32,$H$5:$H$1014)),"Excl",IF(B32&gt;='Work 1'!$C$5,"LTM","Prior"))</f>
        <v/>
      </c>
      <c r="L32">
        <f>I32-J32</f>
        <v/>
      </c>
    </row>
    <row r="33" ht="14.25" customHeight="1" s="54">
      <c r="A33" s="20" t="inlineStr">
        <is>
          <t>BH-40028</t>
        </is>
      </c>
      <c r="B33" s="21" t="n">
        <v>45474</v>
      </c>
      <c r="C33" s="20" t="inlineStr">
        <is>
          <t>C11</t>
        </is>
      </c>
      <c r="D33" s="20" t="inlineStr">
        <is>
          <t>Copper Valley Market</t>
        </is>
      </c>
      <c r="E33" s="20" t="inlineStr">
        <is>
          <t>Grocery</t>
        </is>
      </c>
      <c r="F33" s="20" t="inlineStr">
        <is>
          <t>Snack Bars</t>
        </is>
      </c>
      <c r="G33" s="22" t="n">
        <v>1194</v>
      </c>
      <c r="H33" s="23" t="n">
        <v>32.4</v>
      </c>
      <c r="I33" s="23" t="n">
        <v>38685.6</v>
      </c>
      <c r="J33" s="23" t="n">
        <v>23641.2</v>
      </c>
      <c r="K33">
        <f>IF(OR(COUNTIF($A$5:A33,A33)&gt;1,G33&lt;0,C33="",B33&lt;'Work 1'!$C$6,B33&gt;'Work 1'!$C$7,H33&gt;'Work 1'!$C$8*AVERAGEIF($F$5:$F$1014,F33,$H$5:$H$1014)),"Excl",IF(B33&gt;='Work 1'!$C$5,"LTM","Prior"))</f>
        <v/>
      </c>
      <c r="L33">
        <f>I33-J33</f>
        <v/>
      </c>
    </row>
    <row r="34" ht="14.25" customHeight="1" s="54">
      <c r="A34" s="20" t="inlineStr">
        <is>
          <t>BH-40029</t>
        </is>
      </c>
      <c r="B34" s="21" t="n">
        <v>45474</v>
      </c>
      <c r="C34" s="20" t="inlineStr">
        <is>
          <t>C12</t>
        </is>
      </c>
      <c r="D34" s="20" t="inlineStr">
        <is>
          <t>Riverbend Grocery</t>
        </is>
      </c>
      <c r="E34" s="20" t="inlineStr">
        <is>
          <t>Grocery</t>
        </is>
      </c>
      <c r="F34" s="20" t="inlineStr">
        <is>
          <t>Granola</t>
        </is>
      </c>
      <c r="G34" s="22" t="n">
        <v>1641</v>
      </c>
      <c r="H34" s="23" t="n">
        <v>41.8</v>
      </c>
      <c r="I34" s="23" t="n">
        <v>68593.8</v>
      </c>
      <c r="J34" s="23" t="n">
        <v>42830.1</v>
      </c>
      <c r="K34">
        <f>IF(OR(COUNTIF($A$5:A34,A34)&gt;1,G34&lt;0,C34="",B34&lt;'Work 1'!$C$6,B34&gt;'Work 1'!$C$7,H34&gt;'Work 1'!$C$8*AVERAGEIF($F$5:$F$1014,F34,$H$5:$H$1014)),"Excl",IF(B34&gt;='Work 1'!$C$5,"LTM","Prior"))</f>
        <v/>
      </c>
      <c r="L34">
        <f>I34-J34</f>
        <v/>
      </c>
    </row>
    <row r="35" ht="14.25" customHeight="1" s="54">
      <c r="A35" s="20" t="inlineStr">
        <is>
          <t>BH-40030</t>
        </is>
      </c>
      <c r="B35" s="21" t="n">
        <v>45474</v>
      </c>
      <c r="C35" s="20" t="inlineStr">
        <is>
          <t>C12</t>
        </is>
      </c>
      <c r="D35" s="20" t="inlineStr">
        <is>
          <t>Riverbend Grocery</t>
        </is>
      </c>
      <c r="E35" s="20" t="inlineStr">
        <is>
          <t>Grocery</t>
        </is>
      </c>
      <c r="F35" s="20" t="inlineStr">
        <is>
          <t>Nut Butter</t>
        </is>
      </c>
      <c r="G35" s="22" t="n">
        <v>688</v>
      </c>
      <c r="H35" s="23" t="n">
        <v>55.6</v>
      </c>
      <c r="I35" s="23" t="n">
        <v>38252.8</v>
      </c>
      <c r="J35" s="23" t="n">
        <v>26419.2</v>
      </c>
      <c r="K35">
        <f>IF(OR(COUNTIF($A$5:A35,A35)&gt;1,G35&lt;0,C35="",B35&lt;'Work 1'!$C$6,B35&gt;'Work 1'!$C$7,H35&gt;'Work 1'!$C$8*AVERAGEIF($F$5:$F$1014,F35,$H$5:$H$1014)),"Excl",IF(B35&gt;='Work 1'!$C$5,"LTM","Prior"))</f>
        <v/>
      </c>
      <c r="L35">
        <f>I35-J35</f>
        <v/>
      </c>
    </row>
    <row r="36" ht="14.25" customHeight="1" s="54">
      <c r="A36" s="20" t="inlineStr">
        <is>
          <t>BH-40031</t>
        </is>
      </c>
      <c r="B36" s="21" t="n">
        <v>45474</v>
      </c>
      <c r="C36" s="20" t="inlineStr">
        <is>
          <t>C13</t>
        </is>
      </c>
      <c r="D36" s="20" t="inlineStr">
        <is>
          <t>Sunfield Markets</t>
        </is>
      </c>
      <c r="E36" s="20" t="inlineStr">
        <is>
          <t>Grocery</t>
        </is>
      </c>
      <c r="F36" s="20" t="inlineStr">
        <is>
          <t>Granola</t>
        </is>
      </c>
      <c r="G36" s="22" t="n">
        <v>910</v>
      </c>
      <c r="H36" s="23" t="n">
        <v>41.8</v>
      </c>
      <c r="I36" s="23" t="n">
        <v>38038</v>
      </c>
      <c r="J36" s="23" t="n">
        <v>23751</v>
      </c>
      <c r="K36">
        <f>IF(OR(COUNTIF($A$5:A36,A36)&gt;1,G36&lt;0,C36="",B36&lt;'Work 1'!$C$6,B36&gt;'Work 1'!$C$7,H36&gt;'Work 1'!$C$8*AVERAGEIF($F$5:$F$1014,F36,$H$5:$H$1014)),"Excl",IF(B36&gt;='Work 1'!$C$5,"LTM","Prior"))</f>
        <v/>
      </c>
      <c r="L36">
        <f>I36-J36</f>
        <v/>
      </c>
    </row>
    <row r="37" ht="14.25" customHeight="1" s="54">
      <c r="A37" s="20" t="inlineStr">
        <is>
          <t>BH-40032</t>
        </is>
      </c>
      <c r="B37" s="21" t="n">
        <v>45474</v>
      </c>
      <c r="C37" s="20" t="inlineStr">
        <is>
          <t>C13</t>
        </is>
      </c>
      <c r="D37" s="20" t="inlineStr">
        <is>
          <t>Sunfield Markets</t>
        </is>
      </c>
      <c r="E37" s="20" t="inlineStr">
        <is>
          <t>Grocery</t>
        </is>
      </c>
      <c r="F37" s="20" t="inlineStr">
        <is>
          <t>Snack Bars</t>
        </is>
      </c>
      <c r="G37" s="22" t="n">
        <v>953</v>
      </c>
      <c r="H37" s="23" t="n">
        <v>32.4</v>
      </c>
      <c r="I37" s="23" t="n">
        <v>30877.2</v>
      </c>
      <c r="J37" s="23" t="n">
        <v>18869.4</v>
      </c>
      <c r="K37">
        <f>IF(OR(COUNTIF($A$5:A37,A37)&gt;1,G37&lt;0,C37="",B37&lt;'Work 1'!$C$6,B37&gt;'Work 1'!$C$7,H37&gt;'Work 1'!$C$8*AVERAGEIF($F$5:$F$1014,F37,$H$5:$H$1014)),"Excl",IF(B37&gt;='Work 1'!$C$5,"LTM","Prior"))</f>
        <v/>
      </c>
      <c r="L37">
        <f>I37-J37</f>
        <v/>
      </c>
    </row>
    <row r="38" ht="14.25" customHeight="1" s="54">
      <c r="A38" s="20" t="inlineStr">
        <is>
          <t>BH-40033</t>
        </is>
      </c>
      <c r="B38" s="21" t="n">
        <v>45474</v>
      </c>
      <c r="C38" s="20" t="inlineStr">
        <is>
          <t>C14</t>
        </is>
      </c>
      <c r="D38" s="20" t="inlineStr">
        <is>
          <t>Oak Hollow Foods</t>
        </is>
      </c>
      <c r="E38" s="20" t="inlineStr">
        <is>
          <t>Grocery</t>
        </is>
      </c>
      <c r="F38" s="20" t="inlineStr">
        <is>
          <t>Granola</t>
        </is>
      </c>
      <c r="G38" s="22" t="n">
        <v>1169</v>
      </c>
      <c r="H38" s="23" t="n">
        <v>41.8</v>
      </c>
      <c r="I38" s="23" t="n">
        <v>48864.2</v>
      </c>
      <c r="J38" s="23" t="n">
        <v>30510.9</v>
      </c>
      <c r="K38">
        <f>IF(OR(COUNTIF($A$5:A38,A38)&gt;1,G38&lt;0,C38="",B38&lt;'Work 1'!$C$6,B38&gt;'Work 1'!$C$7,H38&gt;'Work 1'!$C$8*AVERAGEIF($F$5:$F$1014,F38,$H$5:$H$1014)),"Excl",IF(B38&gt;='Work 1'!$C$5,"LTM","Prior"))</f>
        <v/>
      </c>
      <c r="L38">
        <f>I38-J38</f>
        <v/>
      </c>
    </row>
    <row r="39" ht="14.25" customHeight="1" s="54">
      <c r="A39" s="20" t="inlineStr">
        <is>
          <t>BH-40034</t>
        </is>
      </c>
      <c r="B39" s="21" t="n">
        <v>45474</v>
      </c>
      <c r="C39" s="20" t="inlineStr">
        <is>
          <t>C14</t>
        </is>
      </c>
      <c r="D39" s="20" t="inlineStr">
        <is>
          <t>Oak Hollow Foods</t>
        </is>
      </c>
      <c r="E39" s="20" t="inlineStr">
        <is>
          <t>Grocery</t>
        </is>
      </c>
      <c r="F39" s="20" t="inlineStr">
        <is>
          <t>Nut Butter</t>
        </is>
      </c>
      <c r="G39" s="22" t="n">
        <v>410</v>
      </c>
      <c r="H39" s="23" t="n">
        <v>55.6</v>
      </c>
      <c r="I39" s="23" t="n">
        <v>22796</v>
      </c>
      <c r="J39" s="23" t="n">
        <v>15744</v>
      </c>
      <c r="K39">
        <f>IF(OR(COUNTIF($A$5:A39,A39)&gt;1,G39&lt;0,C39="",B39&lt;'Work 1'!$C$6,B39&gt;'Work 1'!$C$7,H39&gt;'Work 1'!$C$8*AVERAGEIF($F$5:$F$1014,F39,$H$5:$H$1014)),"Excl",IF(B39&gt;='Work 1'!$C$5,"LTM","Prior"))</f>
        <v/>
      </c>
      <c r="L39">
        <f>I39-J39</f>
        <v/>
      </c>
    </row>
    <row r="40" ht="14.25" customHeight="1" s="54">
      <c r="A40" s="20" t="inlineStr">
        <is>
          <t>BH-40035</t>
        </is>
      </c>
      <c r="B40" s="21" t="n">
        <v>45474</v>
      </c>
      <c r="C40" s="20" t="inlineStr">
        <is>
          <t>C14</t>
        </is>
      </c>
      <c r="D40" s="20" t="inlineStr">
        <is>
          <t>Oak Hollow Foods</t>
        </is>
      </c>
      <c r="E40" s="20" t="inlineStr">
        <is>
          <t>Grocery</t>
        </is>
      </c>
      <c r="F40" s="20" t="inlineStr">
        <is>
          <t>Snack Bars</t>
        </is>
      </c>
      <c r="G40" s="22" t="n">
        <v>738</v>
      </c>
      <c r="H40" s="23" t="n">
        <v>32.4</v>
      </c>
      <c r="I40" s="23" t="n">
        <v>23911.2</v>
      </c>
      <c r="J40" s="23" t="n">
        <v>14612.4</v>
      </c>
      <c r="K40">
        <f>IF(OR(COUNTIF($A$5:A40,A40)&gt;1,G40&lt;0,C40="",B40&lt;'Work 1'!$C$6,B40&gt;'Work 1'!$C$7,H40&gt;'Work 1'!$C$8*AVERAGEIF($F$5:$F$1014,F40,$H$5:$H$1014)),"Excl",IF(B40&gt;='Work 1'!$C$5,"LTM","Prior"))</f>
        <v/>
      </c>
      <c r="L40">
        <f>I40-J40</f>
        <v/>
      </c>
    </row>
    <row r="41" ht="14.25" customHeight="1" s="54">
      <c r="A41" s="20" t="inlineStr">
        <is>
          <t>BH-40036</t>
        </is>
      </c>
      <c r="B41" s="21" t="n">
        <v>45474</v>
      </c>
      <c r="C41" s="20" t="inlineStr">
        <is>
          <t>C15</t>
        </is>
      </c>
      <c r="D41" s="20" t="inlineStr">
        <is>
          <t>Prairie Fresh</t>
        </is>
      </c>
      <c r="E41" s="20" t="inlineStr">
        <is>
          <t>Grocery</t>
        </is>
      </c>
      <c r="F41" s="20" t="inlineStr">
        <is>
          <t>Granola</t>
        </is>
      </c>
      <c r="G41" s="22" t="n">
        <v>1248</v>
      </c>
      <c r="H41" s="23" t="n">
        <v>41.8</v>
      </c>
      <c r="I41" s="23" t="n">
        <v>52166.4</v>
      </c>
      <c r="J41" s="23" t="n">
        <v>32572.8</v>
      </c>
      <c r="K41">
        <f>IF(OR(COUNTIF($A$5:A41,A41)&gt;1,G41&lt;0,C41="",B41&lt;'Work 1'!$C$6,B41&gt;'Work 1'!$C$7,H41&gt;'Work 1'!$C$8*AVERAGEIF($F$5:$F$1014,F41,$H$5:$H$1014)),"Excl",IF(B41&gt;='Work 1'!$C$5,"LTM","Prior"))</f>
        <v/>
      </c>
      <c r="L41">
        <f>I41-J41</f>
        <v/>
      </c>
    </row>
    <row r="42" ht="14.25" customHeight="1" s="54">
      <c r="A42" s="20" t="inlineStr">
        <is>
          <t>BH-40037</t>
        </is>
      </c>
      <c r="B42" s="21" t="n">
        <v>45474</v>
      </c>
      <c r="C42" s="20" t="inlineStr">
        <is>
          <t>C15</t>
        </is>
      </c>
      <c r="D42" s="20" t="inlineStr">
        <is>
          <t>Prairie Fresh</t>
        </is>
      </c>
      <c r="E42" s="20" t="inlineStr">
        <is>
          <t>Grocery</t>
        </is>
      </c>
      <c r="F42" s="20" t="inlineStr">
        <is>
          <t>Snack Bars</t>
        </is>
      </c>
      <c r="G42" s="22" t="n">
        <v>968</v>
      </c>
      <c r="H42" s="23" t="n">
        <v>32.4</v>
      </c>
      <c r="I42" s="23" t="n">
        <v>31363.2</v>
      </c>
      <c r="J42" s="23" t="n">
        <v>19166.4</v>
      </c>
      <c r="K42">
        <f>IF(OR(COUNTIF($A$5:A42,A42)&gt;1,G42&lt;0,C42="",B42&lt;'Work 1'!$C$6,B42&gt;'Work 1'!$C$7,H42&gt;'Work 1'!$C$8*AVERAGEIF($F$5:$F$1014,F42,$H$5:$H$1014)),"Excl",IF(B42&gt;='Work 1'!$C$5,"LTM","Prior"))</f>
        <v/>
      </c>
      <c r="L42">
        <f>I42-J42</f>
        <v/>
      </c>
    </row>
    <row r="43" ht="14.25" customHeight="1" s="54">
      <c r="A43" s="20" t="inlineStr">
        <is>
          <t>BH-40038</t>
        </is>
      </c>
      <c r="B43" s="21" t="n">
        <v>45474</v>
      </c>
      <c r="C43" s="20" t="inlineStr">
        <is>
          <t>C16</t>
        </is>
      </c>
      <c r="D43" s="20" t="inlineStr">
        <is>
          <t>Bay Street Market</t>
        </is>
      </c>
      <c r="E43" s="20" t="inlineStr">
        <is>
          <t>Grocery</t>
        </is>
      </c>
      <c r="F43" s="20" t="inlineStr">
        <is>
          <t>Granola</t>
        </is>
      </c>
      <c r="G43" s="22" t="n">
        <v>901</v>
      </c>
      <c r="H43" s="23" t="n">
        <v>41.8</v>
      </c>
      <c r="I43" s="23" t="n">
        <v>37661.8</v>
      </c>
      <c r="J43" s="23" t="n">
        <v>23516.1</v>
      </c>
      <c r="K43">
        <f>IF(OR(COUNTIF($A$5:A43,A43)&gt;1,G43&lt;0,C43="",B43&lt;'Work 1'!$C$6,B43&gt;'Work 1'!$C$7,H43&gt;'Work 1'!$C$8*AVERAGEIF($F$5:$F$1014,F43,$H$5:$H$1014)),"Excl",IF(B43&gt;='Work 1'!$C$5,"LTM","Prior"))</f>
        <v/>
      </c>
      <c r="L43">
        <f>I43-J43</f>
        <v/>
      </c>
    </row>
    <row r="44" ht="14.25" customHeight="1" s="54">
      <c r="A44" s="20" t="inlineStr">
        <is>
          <t>BH-40039</t>
        </is>
      </c>
      <c r="B44" s="21" t="n">
        <v>45474</v>
      </c>
      <c r="C44" s="20" t="inlineStr">
        <is>
          <t>C16</t>
        </is>
      </c>
      <c r="D44" s="20" t="inlineStr">
        <is>
          <t>Bay Street Market</t>
        </is>
      </c>
      <c r="E44" s="20" t="inlineStr">
        <is>
          <t>Grocery</t>
        </is>
      </c>
      <c r="F44" s="20" t="inlineStr">
        <is>
          <t>Nut Butter</t>
        </is>
      </c>
      <c r="G44" s="22" t="n">
        <v>552</v>
      </c>
      <c r="H44" s="23" t="n">
        <v>55.6</v>
      </c>
      <c r="I44" s="23" t="n">
        <v>30691.2</v>
      </c>
      <c r="J44" s="23" t="n">
        <v>21196.8</v>
      </c>
      <c r="K44">
        <f>IF(OR(COUNTIF($A$5:A44,A44)&gt;1,G44&lt;0,C44="",B44&lt;'Work 1'!$C$6,B44&gt;'Work 1'!$C$7,H44&gt;'Work 1'!$C$8*AVERAGEIF($F$5:$F$1014,F44,$H$5:$H$1014)),"Excl",IF(B44&gt;='Work 1'!$C$5,"LTM","Prior"))</f>
        <v/>
      </c>
      <c r="L44">
        <f>I44-J44</f>
        <v/>
      </c>
    </row>
    <row r="45" ht="14.25" customHeight="1" s="54">
      <c r="A45" s="20" t="inlineStr">
        <is>
          <t>BH-40040</t>
        </is>
      </c>
      <c r="B45" s="21" t="n">
        <v>45474</v>
      </c>
      <c r="C45" s="20" t="inlineStr">
        <is>
          <t>C17</t>
        </is>
      </c>
      <c r="D45" s="20" t="inlineStr">
        <is>
          <t>Eastgate Grocers</t>
        </is>
      </c>
      <c r="E45" s="20" t="inlineStr">
        <is>
          <t>Grocery</t>
        </is>
      </c>
      <c r="F45" s="20" t="inlineStr">
        <is>
          <t>Granola</t>
        </is>
      </c>
      <c r="G45" s="22" t="n">
        <v>1279</v>
      </c>
      <c r="H45" s="23" t="n">
        <v>41.8</v>
      </c>
      <c r="I45" s="23" t="n">
        <v>53462.2</v>
      </c>
      <c r="J45" s="23" t="n">
        <v>33381.9</v>
      </c>
      <c r="K45">
        <f>IF(OR(COUNTIF($A$5:A45,A45)&gt;1,G45&lt;0,C45="",B45&lt;'Work 1'!$C$6,B45&gt;'Work 1'!$C$7,H45&gt;'Work 1'!$C$8*AVERAGEIF($F$5:$F$1014,F45,$H$5:$H$1014)),"Excl",IF(B45&gt;='Work 1'!$C$5,"LTM","Prior"))</f>
        <v/>
      </c>
      <c r="L45">
        <f>I45-J45</f>
        <v/>
      </c>
    </row>
    <row r="46" ht="14.25" customHeight="1" s="54">
      <c r="A46" s="20" t="inlineStr">
        <is>
          <t>BH-40041</t>
        </is>
      </c>
      <c r="B46" s="21" t="n">
        <v>45474</v>
      </c>
      <c r="C46" s="20" t="inlineStr">
        <is>
          <t>C17</t>
        </is>
      </c>
      <c r="D46" s="20" t="inlineStr">
        <is>
          <t>Eastgate Grocers</t>
        </is>
      </c>
      <c r="E46" s="20" t="inlineStr">
        <is>
          <t>Grocery</t>
        </is>
      </c>
      <c r="F46" s="20" t="inlineStr">
        <is>
          <t>Snack Bars</t>
        </is>
      </c>
      <c r="G46" s="22" t="n">
        <v>940</v>
      </c>
      <c r="H46" s="23" t="n">
        <v>32.4</v>
      </c>
      <c r="I46" s="23" t="n">
        <v>30456</v>
      </c>
      <c r="J46" s="23" t="n">
        <v>18612</v>
      </c>
      <c r="K46">
        <f>IF(OR(COUNTIF($A$5:A46,A46)&gt;1,G46&lt;0,C46="",B46&lt;'Work 1'!$C$6,B46&gt;'Work 1'!$C$7,H46&gt;'Work 1'!$C$8*AVERAGEIF($F$5:$F$1014,F46,$H$5:$H$1014)),"Excl",IF(B46&gt;='Work 1'!$C$5,"LTM","Prior"))</f>
        <v/>
      </c>
      <c r="L46">
        <f>I46-J46</f>
        <v/>
      </c>
    </row>
    <row r="47" ht="14.25" customHeight="1" s="54">
      <c r="A47" s="20" t="inlineStr">
        <is>
          <t>BH-40042</t>
        </is>
      </c>
      <c r="B47" s="21" t="n">
        <v>45474</v>
      </c>
      <c r="C47" s="20" t="inlineStr">
        <is>
          <t>C18</t>
        </is>
      </c>
      <c r="D47" s="20" t="inlineStr">
        <is>
          <t>Hillcrest Food Co.</t>
        </is>
      </c>
      <c r="E47" s="20" t="inlineStr">
        <is>
          <t>Grocery</t>
        </is>
      </c>
      <c r="F47" s="20" t="inlineStr">
        <is>
          <t>Granola</t>
        </is>
      </c>
      <c r="G47" s="22" t="n">
        <v>917</v>
      </c>
      <c r="H47" s="23" t="n">
        <v>41.8</v>
      </c>
      <c r="I47" s="23" t="n">
        <v>38330.6</v>
      </c>
      <c r="J47" s="23" t="n">
        <v>23933.7</v>
      </c>
      <c r="K47">
        <f>IF(OR(COUNTIF($A$5:A47,A47)&gt;1,G47&lt;0,C47="",B47&lt;'Work 1'!$C$6,B47&gt;'Work 1'!$C$7,H47&gt;'Work 1'!$C$8*AVERAGEIF($F$5:$F$1014,F47,$H$5:$H$1014)),"Excl",IF(B47&gt;='Work 1'!$C$5,"LTM","Prior"))</f>
        <v/>
      </c>
      <c r="L47">
        <f>I47-J47</f>
        <v/>
      </c>
    </row>
    <row r="48" ht="14.25" customHeight="1" s="54">
      <c r="A48" s="20" t="inlineStr">
        <is>
          <t>BH-40043</t>
        </is>
      </c>
      <c r="B48" s="21" t="n">
        <v>45474</v>
      </c>
      <c r="C48" s="20" t="inlineStr">
        <is>
          <t>C18</t>
        </is>
      </c>
      <c r="D48" s="20" t="inlineStr">
        <is>
          <t>Hillcrest Food Co.</t>
        </is>
      </c>
      <c r="E48" s="20" t="inlineStr">
        <is>
          <t>Grocery</t>
        </is>
      </c>
      <c r="F48" s="20" t="inlineStr">
        <is>
          <t>Nut Butter</t>
        </is>
      </c>
      <c r="G48" s="22" t="n">
        <v>411</v>
      </c>
      <c r="H48" s="23" t="n">
        <v>55.6</v>
      </c>
      <c r="I48" s="23" t="n">
        <v>22851.6</v>
      </c>
      <c r="J48" s="23" t="n">
        <v>15782.4</v>
      </c>
      <c r="K48">
        <f>IF(OR(COUNTIF($A$5:A48,A48)&gt;1,G48&lt;0,C48="",B48&lt;'Work 1'!$C$6,B48&gt;'Work 1'!$C$7,H48&gt;'Work 1'!$C$8*AVERAGEIF($F$5:$F$1014,F48,$H$5:$H$1014)),"Excl",IF(B48&gt;='Work 1'!$C$5,"LTM","Prior"))</f>
        <v/>
      </c>
      <c r="L48">
        <f>I48-J48</f>
        <v/>
      </c>
    </row>
    <row r="49" ht="14.25" customHeight="1" s="54">
      <c r="A49" s="20" t="inlineStr">
        <is>
          <t>BH-40044</t>
        </is>
      </c>
      <c r="B49" s="21" t="n">
        <v>45505</v>
      </c>
      <c r="C49" s="20" t="inlineStr">
        <is>
          <t>C01</t>
        </is>
      </c>
      <c r="D49" s="20" t="inlineStr">
        <is>
          <t>Northfield Markets</t>
        </is>
      </c>
      <c r="E49" s="20" t="inlineStr">
        <is>
          <t>Grocery</t>
        </is>
      </c>
      <c r="F49" s="20" t="inlineStr">
        <is>
          <t>Granola</t>
        </is>
      </c>
      <c r="G49" s="22" t="n">
        <v>12626</v>
      </c>
      <c r="H49" s="23" t="n">
        <v>39.29</v>
      </c>
      <c r="I49" s="23" t="n">
        <v>496075.54</v>
      </c>
      <c r="J49" s="23" t="n">
        <v>329538.6</v>
      </c>
      <c r="K49">
        <f>IF(OR(COUNTIF($A$5:A49,A49)&gt;1,G49&lt;0,C49="",B49&lt;'Work 1'!$C$6,B49&gt;'Work 1'!$C$7,H49&gt;'Work 1'!$C$8*AVERAGEIF($F$5:$F$1014,F49,$H$5:$H$1014)),"Excl",IF(B49&gt;='Work 1'!$C$5,"LTM","Prior"))</f>
        <v/>
      </c>
      <c r="L49">
        <f>I49-J49</f>
        <v/>
      </c>
    </row>
    <row r="50" ht="14.25" customHeight="1" s="54">
      <c r="A50" s="20" t="inlineStr">
        <is>
          <t>BH-40045</t>
        </is>
      </c>
      <c r="B50" s="21" t="n">
        <v>45505</v>
      </c>
      <c r="C50" s="20" t="inlineStr">
        <is>
          <t>C01</t>
        </is>
      </c>
      <c r="D50" s="20" t="inlineStr">
        <is>
          <t>Northfield Markets</t>
        </is>
      </c>
      <c r="E50" s="20" t="inlineStr">
        <is>
          <t>Grocery</t>
        </is>
      </c>
      <c r="F50" s="20" t="inlineStr">
        <is>
          <t>Nut Butter</t>
        </is>
      </c>
      <c r="G50" s="22" t="n">
        <v>6162</v>
      </c>
      <c r="H50" s="23" t="n">
        <v>52.26</v>
      </c>
      <c r="I50" s="23" t="n">
        <v>322026.12</v>
      </c>
      <c r="J50" s="23" t="n">
        <v>236620.8</v>
      </c>
      <c r="K50">
        <f>IF(OR(COUNTIF($A$5:A50,A50)&gt;1,G50&lt;0,C50="",B50&lt;'Work 1'!$C$6,B50&gt;'Work 1'!$C$7,H50&gt;'Work 1'!$C$8*AVERAGEIF($F$5:$F$1014,F50,$H$5:$H$1014)),"Excl",IF(B50&gt;='Work 1'!$C$5,"LTM","Prior"))</f>
        <v/>
      </c>
      <c r="L50">
        <f>I50-J50</f>
        <v/>
      </c>
    </row>
    <row r="51" ht="14.25" customHeight="1" s="54">
      <c r="A51" s="20" t="inlineStr">
        <is>
          <t>BH-40046</t>
        </is>
      </c>
      <c r="B51" s="21" t="n">
        <v>45505</v>
      </c>
      <c r="C51" s="20" t="inlineStr">
        <is>
          <t>C01</t>
        </is>
      </c>
      <c r="D51" s="20" t="inlineStr">
        <is>
          <t>Northfield Markets</t>
        </is>
      </c>
      <c r="E51" s="20" t="inlineStr">
        <is>
          <t>Grocery</t>
        </is>
      </c>
      <c r="F51" s="20" t="inlineStr">
        <is>
          <t>Snack Bars</t>
        </is>
      </c>
      <c r="G51" s="22" t="n">
        <v>8790</v>
      </c>
      <c r="H51" s="23" t="n">
        <v>30.46</v>
      </c>
      <c r="I51" s="23" t="n">
        <v>267743.4</v>
      </c>
      <c r="J51" s="23" t="n">
        <v>174042</v>
      </c>
      <c r="K51">
        <f>IF(OR(COUNTIF($A$5:A51,A51)&gt;1,G51&lt;0,C51="",B51&lt;'Work 1'!$C$6,B51&gt;'Work 1'!$C$7,H51&gt;'Work 1'!$C$8*AVERAGEIF($F$5:$F$1014,F51,$H$5:$H$1014)),"Excl",IF(B51&gt;='Work 1'!$C$5,"LTM","Prior"))</f>
        <v/>
      </c>
      <c r="L51">
        <f>I51-J51</f>
        <v/>
      </c>
    </row>
    <row r="52" ht="14.25" customHeight="1" s="54">
      <c r="A52" s="20" t="inlineStr">
        <is>
          <t>BH-40047</t>
        </is>
      </c>
      <c r="B52" s="21" t="n">
        <v>45505</v>
      </c>
      <c r="C52" s="20" t="inlineStr">
        <is>
          <t>C02</t>
        </is>
      </c>
      <c r="D52" s="20" t="inlineStr">
        <is>
          <t>Crestline Grocers</t>
        </is>
      </c>
      <c r="E52" s="20" t="inlineStr">
        <is>
          <t>Grocery</t>
        </is>
      </c>
      <c r="F52" s="20" t="inlineStr">
        <is>
          <t>Granola</t>
        </is>
      </c>
      <c r="G52" s="22" t="n">
        <v>3644</v>
      </c>
      <c r="H52" s="23" t="n">
        <v>40.55</v>
      </c>
      <c r="I52" s="23" t="n">
        <v>147764.2</v>
      </c>
      <c r="J52" s="23" t="n">
        <v>95108.39999999999</v>
      </c>
      <c r="K52">
        <f>IF(OR(COUNTIF($A$5:A52,A52)&gt;1,G52&lt;0,C52="",B52&lt;'Work 1'!$C$6,B52&gt;'Work 1'!$C$7,H52&gt;'Work 1'!$C$8*AVERAGEIF($F$5:$F$1014,F52,$H$5:$H$1014)),"Excl",IF(B52&gt;='Work 1'!$C$5,"LTM","Prior"))</f>
        <v/>
      </c>
      <c r="L52">
        <f>I52-J52</f>
        <v/>
      </c>
    </row>
    <row r="53" ht="14.25" customHeight="1" s="54">
      <c r="A53" s="20" t="inlineStr">
        <is>
          <t>BH-40048</t>
        </is>
      </c>
      <c r="B53" s="21" t="n">
        <v>45505</v>
      </c>
      <c r="C53" s="20" t="inlineStr">
        <is>
          <t>C02</t>
        </is>
      </c>
      <c r="D53" s="20" t="inlineStr">
        <is>
          <t>Crestline Grocers</t>
        </is>
      </c>
      <c r="E53" s="20" t="inlineStr">
        <is>
          <t>Grocery</t>
        </is>
      </c>
      <c r="F53" s="20" t="inlineStr">
        <is>
          <t>Nut Butter</t>
        </is>
      </c>
      <c r="G53" s="22" t="n">
        <v>1827</v>
      </c>
      <c r="H53" s="23" t="n">
        <v>53.93</v>
      </c>
      <c r="I53" s="23" t="n">
        <v>98530.11</v>
      </c>
      <c r="J53" s="23" t="n">
        <v>70156.8</v>
      </c>
      <c r="K53">
        <f>IF(OR(COUNTIF($A$5:A53,A53)&gt;1,G53&lt;0,C53="",B53&lt;'Work 1'!$C$6,B53&gt;'Work 1'!$C$7,H53&gt;'Work 1'!$C$8*AVERAGEIF($F$5:$F$1014,F53,$H$5:$H$1014)),"Excl",IF(B53&gt;='Work 1'!$C$5,"LTM","Prior"))</f>
        <v/>
      </c>
      <c r="L53">
        <f>I53-J53</f>
        <v/>
      </c>
    </row>
    <row r="54" ht="14.25" customHeight="1" s="54">
      <c r="A54" s="20" t="inlineStr">
        <is>
          <t>BH-40049</t>
        </is>
      </c>
      <c r="B54" s="21" t="n">
        <v>45505</v>
      </c>
      <c r="C54" s="20" t="inlineStr">
        <is>
          <t>C02</t>
        </is>
      </c>
      <c r="D54" s="20" t="inlineStr">
        <is>
          <t>Crestline Grocers</t>
        </is>
      </c>
      <c r="E54" s="20" t="inlineStr">
        <is>
          <t>Grocery</t>
        </is>
      </c>
      <c r="F54" s="20" t="inlineStr">
        <is>
          <t>Snack Bars</t>
        </is>
      </c>
      <c r="G54" s="22" t="n">
        <v>3339</v>
      </c>
      <c r="H54" s="23" t="n">
        <v>31.43</v>
      </c>
      <c r="I54" s="23" t="n">
        <v>104944.77</v>
      </c>
      <c r="J54" s="23" t="n">
        <v>66112.2</v>
      </c>
      <c r="K54">
        <f>IF(OR(COUNTIF($A$5:A54,A54)&gt;1,G54&lt;0,C54="",B54&lt;'Work 1'!$C$6,B54&gt;'Work 1'!$C$7,H54&gt;'Work 1'!$C$8*AVERAGEIF($F$5:$F$1014,F54,$H$5:$H$1014)),"Excl",IF(B54&gt;='Work 1'!$C$5,"LTM","Prior"))</f>
        <v/>
      </c>
      <c r="L54">
        <f>I54-J54</f>
        <v/>
      </c>
    </row>
    <row r="55" ht="14.25" customHeight="1" s="54">
      <c r="A55" s="20" t="inlineStr">
        <is>
          <t>BH-40050</t>
        </is>
      </c>
      <c r="B55" s="21" t="n">
        <v>45505</v>
      </c>
      <c r="C55" s="20" t="inlineStr">
        <is>
          <t>C03</t>
        </is>
      </c>
      <c r="D55" s="20" t="inlineStr">
        <is>
          <t>ValuClub Warehouse</t>
        </is>
      </c>
      <c r="E55" s="20" t="inlineStr">
        <is>
          <t>Club</t>
        </is>
      </c>
      <c r="F55" s="20" t="inlineStr">
        <is>
          <t>Granola</t>
        </is>
      </c>
      <c r="G55" s="22" t="n">
        <v>10695</v>
      </c>
      <c r="H55" s="23" t="n">
        <v>35.9</v>
      </c>
      <c r="I55" s="23" t="n">
        <v>383950.5</v>
      </c>
      <c r="J55" s="23" t="n">
        <v>279139.5</v>
      </c>
      <c r="K55">
        <f>IF(OR(COUNTIF($A$5:A55,A55)&gt;1,G55&lt;0,C55="",B55&lt;'Work 1'!$C$6,B55&gt;'Work 1'!$C$7,H55&gt;'Work 1'!$C$8*AVERAGEIF($F$5:$F$1014,F55,$H$5:$H$1014)),"Excl",IF(B55&gt;='Work 1'!$C$5,"LTM","Prior"))</f>
        <v/>
      </c>
      <c r="L55">
        <f>I55-J55</f>
        <v/>
      </c>
    </row>
    <row r="56" ht="14.25" customHeight="1" s="54">
      <c r="A56" s="20" t="inlineStr">
        <is>
          <t>BH-40051</t>
        </is>
      </c>
      <c r="B56" s="21" t="n">
        <v>45505</v>
      </c>
      <c r="C56" s="20" t="inlineStr">
        <is>
          <t>C03</t>
        </is>
      </c>
      <c r="D56" s="20" t="inlineStr">
        <is>
          <t>ValuClub Warehouse</t>
        </is>
      </c>
      <c r="E56" s="20" t="inlineStr">
        <is>
          <t>Club</t>
        </is>
      </c>
      <c r="F56" s="20" t="inlineStr">
        <is>
          <t>Snack Bars</t>
        </is>
      </c>
      <c r="G56" s="22" t="n">
        <v>12073</v>
      </c>
      <c r="H56" s="23" t="n">
        <v>27.4</v>
      </c>
      <c r="I56" s="23" t="n">
        <v>330800.2</v>
      </c>
      <c r="J56" s="23" t="n">
        <v>239045.4</v>
      </c>
      <c r="K56">
        <f>IF(OR(COUNTIF($A$5:A56,A56)&gt;1,G56&lt;0,C56="",B56&lt;'Work 1'!$C$6,B56&gt;'Work 1'!$C$7,H56&gt;'Work 1'!$C$8*AVERAGEIF($F$5:$F$1014,F56,$H$5:$H$1014)),"Excl",IF(B56&gt;='Work 1'!$C$5,"LTM","Prior"))</f>
        <v/>
      </c>
      <c r="L56">
        <f>I56-J56</f>
        <v/>
      </c>
    </row>
    <row r="57" ht="14.25" customHeight="1" s="54">
      <c r="A57" s="20" t="inlineStr">
        <is>
          <t>BH-40052</t>
        </is>
      </c>
      <c r="B57" s="21" t="n">
        <v>45505</v>
      </c>
      <c r="C57" s="20" t="inlineStr">
        <is>
          <t>C04</t>
        </is>
      </c>
      <c r="D57" s="20" t="inlineStr">
        <is>
          <t>Harvest Lane Co-op</t>
        </is>
      </c>
      <c r="E57" s="20" t="inlineStr">
        <is>
          <t>Grocery</t>
        </is>
      </c>
      <c r="F57" s="20" t="inlineStr">
        <is>
          <t>Granola</t>
        </is>
      </c>
      <c r="G57" s="22" t="n">
        <v>2654</v>
      </c>
      <c r="H57" s="23" t="n">
        <v>41.8</v>
      </c>
      <c r="I57" s="23" t="n">
        <v>110937.2</v>
      </c>
      <c r="J57" s="23" t="n">
        <v>69269.39999999999</v>
      </c>
      <c r="K57">
        <f>IF(OR(COUNTIF($A$5:A57,A57)&gt;1,G57&lt;0,C57="",B57&lt;'Work 1'!$C$6,B57&gt;'Work 1'!$C$7,H57&gt;'Work 1'!$C$8*AVERAGEIF($F$5:$F$1014,F57,$H$5:$H$1014)),"Excl",IF(B57&gt;='Work 1'!$C$5,"LTM","Prior"))</f>
        <v/>
      </c>
      <c r="L57">
        <f>I57-J57</f>
        <v/>
      </c>
    </row>
    <row r="58" ht="14.25" customHeight="1" s="54">
      <c r="A58" s="20" t="inlineStr">
        <is>
          <t>BH-40053</t>
        </is>
      </c>
      <c r="B58" s="21" t="n">
        <v>45505</v>
      </c>
      <c r="C58" s="20" t="inlineStr">
        <is>
          <t>C04</t>
        </is>
      </c>
      <c r="D58" s="20" t="inlineStr">
        <is>
          <t>Harvest Lane Co-op</t>
        </is>
      </c>
      <c r="E58" s="20" t="inlineStr">
        <is>
          <t>Grocery</t>
        </is>
      </c>
      <c r="F58" s="20" t="inlineStr">
        <is>
          <t>Nut Butter</t>
        </is>
      </c>
      <c r="G58" s="22" t="n">
        <v>1367</v>
      </c>
      <c r="H58" s="23" t="n">
        <v>55.6</v>
      </c>
      <c r="I58" s="23" t="n">
        <v>76005.2</v>
      </c>
      <c r="J58" s="23" t="n">
        <v>52492.8</v>
      </c>
      <c r="K58">
        <f>IF(OR(COUNTIF($A$5:A58,A58)&gt;1,G58&lt;0,C58="",B58&lt;'Work 1'!$C$6,B58&gt;'Work 1'!$C$7,H58&gt;'Work 1'!$C$8*AVERAGEIF($F$5:$F$1014,F58,$H$5:$H$1014)),"Excl",IF(B58&gt;='Work 1'!$C$5,"LTM","Prior"))</f>
        <v/>
      </c>
      <c r="L58">
        <f>I58-J58</f>
        <v/>
      </c>
    </row>
    <row r="59" ht="14.25" customHeight="1" s="54">
      <c r="A59" s="20" t="inlineStr">
        <is>
          <t>BH-40054</t>
        </is>
      </c>
      <c r="B59" s="21" t="n">
        <v>45505</v>
      </c>
      <c r="C59" s="20" t="inlineStr">
        <is>
          <t>C04</t>
        </is>
      </c>
      <c r="D59" s="20" t="inlineStr">
        <is>
          <t>Harvest Lane Co-op</t>
        </is>
      </c>
      <c r="E59" s="20" t="inlineStr">
        <is>
          <t>Grocery</t>
        </is>
      </c>
      <c r="F59" s="20" t="inlineStr">
        <is>
          <t>Snack Bars</t>
        </is>
      </c>
      <c r="G59" s="22" t="n">
        <v>1714</v>
      </c>
      <c r="H59" s="23" t="n">
        <v>32.4</v>
      </c>
      <c r="I59" s="23" t="n">
        <v>55533.6</v>
      </c>
      <c r="J59" s="23" t="n">
        <v>33937.2</v>
      </c>
      <c r="K59">
        <f>IF(OR(COUNTIF($A$5:A59,A59)&gt;1,G59&lt;0,C59="",B59&lt;'Work 1'!$C$6,B59&gt;'Work 1'!$C$7,H59&gt;'Work 1'!$C$8*AVERAGEIF($F$5:$F$1014,F59,$H$5:$H$1014)),"Excl",IF(B59&gt;='Work 1'!$C$5,"LTM","Prior"))</f>
        <v/>
      </c>
      <c r="L59">
        <f>I59-J59</f>
        <v/>
      </c>
    </row>
    <row r="60" ht="14.25" customHeight="1" s="54">
      <c r="A60" s="20" t="inlineStr">
        <is>
          <t>BH-40055</t>
        </is>
      </c>
      <c r="B60" s="21" t="n">
        <v>45505</v>
      </c>
      <c r="C60" s="20" t="inlineStr">
        <is>
          <t>C05</t>
        </is>
      </c>
      <c r="D60" s="20" t="inlineStr">
        <is>
          <t>Pioneer Foods Distribution</t>
        </is>
      </c>
      <c r="E60" s="20" t="inlineStr">
        <is>
          <t>Grocery</t>
        </is>
      </c>
      <c r="F60" s="20" t="inlineStr">
        <is>
          <t>Granola</t>
        </is>
      </c>
      <c r="G60" s="22" t="n">
        <v>3361</v>
      </c>
      <c r="H60" s="23" t="n">
        <v>37.62</v>
      </c>
      <c r="I60" s="23" t="n">
        <v>126440.82</v>
      </c>
      <c r="J60" s="23" t="n">
        <v>87722.10000000001</v>
      </c>
      <c r="K60">
        <f>IF(OR(COUNTIF($A$5:A60,A60)&gt;1,G60&lt;0,C60="",B60&lt;'Work 1'!$C$6,B60&gt;'Work 1'!$C$7,H60&gt;'Work 1'!$C$8*AVERAGEIF($F$5:$F$1014,F60,$H$5:$H$1014)),"Excl",IF(B60&gt;='Work 1'!$C$5,"LTM","Prior"))</f>
        <v/>
      </c>
      <c r="L60">
        <f>I60-J60</f>
        <v/>
      </c>
    </row>
    <row r="61" ht="14.25" customHeight="1" s="54">
      <c r="A61" s="20" t="inlineStr">
        <is>
          <t>BH-40056</t>
        </is>
      </c>
      <c r="B61" s="21" t="n">
        <v>45505</v>
      </c>
      <c r="C61" s="20" t="inlineStr">
        <is>
          <t>C05</t>
        </is>
      </c>
      <c r="D61" s="20" t="inlineStr">
        <is>
          <t>Pioneer Foods Distribution</t>
        </is>
      </c>
      <c r="E61" s="20" t="inlineStr">
        <is>
          <t>Grocery</t>
        </is>
      </c>
      <c r="F61" s="20" t="inlineStr">
        <is>
          <t>Nut Butter</t>
        </is>
      </c>
      <c r="G61" s="22" t="n">
        <v>1972</v>
      </c>
      <c r="H61" s="23" t="n">
        <v>50.04</v>
      </c>
      <c r="I61" s="23" t="n">
        <v>98678.88</v>
      </c>
      <c r="J61" s="23" t="n">
        <v>75724.8</v>
      </c>
      <c r="K61">
        <f>IF(OR(COUNTIF($A$5:A61,A61)&gt;1,G61&lt;0,C61="",B61&lt;'Work 1'!$C$6,B61&gt;'Work 1'!$C$7,H61&gt;'Work 1'!$C$8*AVERAGEIF($F$5:$F$1014,F61,$H$5:$H$1014)),"Excl",IF(B61&gt;='Work 1'!$C$5,"LTM","Prior"))</f>
        <v/>
      </c>
      <c r="L61">
        <f>I61-J61</f>
        <v/>
      </c>
    </row>
    <row r="62" ht="14.25" customHeight="1" s="54">
      <c r="A62" s="20" t="inlineStr">
        <is>
          <t>BH-40057</t>
        </is>
      </c>
      <c r="B62" s="21" t="n">
        <v>45505</v>
      </c>
      <c r="C62" s="20" t="inlineStr">
        <is>
          <t>C05</t>
        </is>
      </c>
      <c r="D62" s="20" t="inlineStr">
        <is>
          <t>Pioneer Foods Distribution</t>
        </is>
      </c>
      <c r="E62" s="20" t="inlineStr">
        <is>
          <t>Grocery</t>
        </is>
      </c>
      <c r="F62" s="20" t="inlineStr">
        <is>
          <t>Snack Bars</t>
        </is>
      </c>
      <c r="G62" s="22" t="n">
        <v>3108</v>
      </c>
      <c r="H62" s="23" t="n">
        <v>29.16</v>
      </c>
      <c r="I62" s="23" t="n">
        <v>90629.28</v>
      </c>
      <c r="J62" s="23" t="n">
        <v>61538.4</v>
      </c>
      <c r="K62">
        <f>IF(OR(COUNTIF($A$5:A62,A62)&gt;1,G62&lt;0,C62="",B62&lt;'Work 1'!$C$6,B62&gt;'Work 1'!$C$7,H62&gt;'Work 1'!$C$8*AVERAGEIF($F$5:$F$1014,F62,$H$5:$H$1014)),"Excl",IF(B62&gt;='Work 1'!$C$5,"LTM","Prior"))</f>
        <v/>
      </c>
      <c r="L62">
        <f>I62-J62</f>
        <v/>
      </c>
    </row>
    <row r="63" ht="14.25" customHeight="1" s="54">
      <c r="A63" s="20" t="inlineStr">
        <is>
          <t>BH-40058</t>
        </is>
      </c>
      <c r="B63" s="21" t="n">
        <v>45505</v>
      </c>
      <c r="C63" s="20" t="inlineStr">
        <is>
          <t>C06</t>
        </is>
      </c>
      <c r="D63" s="20" t="inlineStr">
        <is>
          <t>Summit Club Stores</t>
        </is>
      </c>
      <c r="E63" s="20" t="inlineStr">
        <is>
          <t>Club</t>
        </is>
      </c>
      <c r="F63" s="20" t="inlineStr">
        <is>
          <t>Granola</t>
        </is>
      </c>
      <c r="G63" s="22" t="n">
        <v>4581</v>
      </c>
      <c r="H63" s="23" t="n">
        <v>35.9</v>
      </c>
      <c r="I63" s="23" t="n">
        <v>164457.9</v>
      </c>
      <c r="J63" s="23" t="n">
        <v>119564.1</v>
      </c>
      <c r="K63">
        <f>IF(OR(COUNTIF($A$5:A63,A63)&gt;1,G63&lt;0,C63="",B63&lt;'Work 1'!$C$6,B63&gt;'Work 1'!$C$7,H63&gt;'Work 1'!$C$8*AVERAGEIF($F$5:$F$1014,F63,$H$5:$H$1014)),"Excl",IF(B63&gt;='Work 1'!$C$5,"LTM","Prior"))</f>
        <v/>
      </c>
      <c r="L63">
        <f>I63-J63</f>
        <v/>
      </c>
    </row>
    <row r="64" ht="14.25" customHeight="1" s="54">
      <c r="A64" s="20" t="inlineStr">
        <is>
          <t>BH-40059</t>
        </is>
      </c>
      <c r="B64" s="21" t="n">
        <v>45505</v>
      </c>
      <c r="C64" s="20" t="inlineStr">
        <is>
          <t>C06</t>
        </is>
      </c>
      <c r="D64" s="20" t="inlineStr">
        <is>
          <t>Summit Club Stores</t>
        </is>
      </c>
      <c r="E64" s="20" t="inlineStr">
        <is>
          <t>Club</t>
        </is>
      </c>
      <c r="F64" s="20" t="inlineStr">
        <is>
          <t>Nut Butter</t>
        </is>
      </c>
      <c r="G64" s="22" t="n">
        <v>2475</v>
      </c>
      <c r="H64" s="23" t="n">
        <v>47.8</v>
      </c>
      <c r="I64" s="23" t="n">
        <v>118305</v>
      </c>
      <c r="J64" s="23" t="n">
        <v>95040</v>
      </c>
      <c r="K64">
        <f>IF(OR(COUNTIF($A$5:A64,A64)&gt;1,G64&lt;0,C64="",B64&lt;'Work 1'!$C$6,B64&gt;'Work 1'!$C$7,H64&gt;'Work 1'!$C$8*AVERAGEIF($F$5:$F$1014,F64,$H$5:$H$1014)),"Excl",IF(B64&gt;='Work 1'!$C$5,"LTM","Prior"))</f>
        <v/>
      </c>
      <c r="L64">
        <f>I64-J64</f>
        <v/>
      </c>
    </row>
    <row r="65" ht="14.25" customHeight="1" s="54">
      <c r="A65" s="20" t="inlineStr">
        <is>
          <t>BH-40060</t>
        </is>
      </c>
      <c r="B65" s="21" t="n">
        <v>45505</v>
      </c>
      <c r="C65" s="20" t="inlineStr">
        <is>
          <t>C07</t>
        </is>
      </c>
      <c r="D65" s="20" t="inlineStr">
        <is>
          <t>Bramble Hill Online Store</t>
        </is>
      </c>
      <c r="E65" s="20" t="inlineStr">
        <is>
          <t>Online</t>
        </is>
      </c>
      <c r="F65" s="20" t="inlineStr">
        <is>
          <t>Granola</t>
        </is>
      </c>
      <c r="G65" s="22" t="n">
        <v>3110</v>
      </c>
      <c r="H65" s="23" t="n">
        <v>47.5</v>
      </c>
      <c r="I65" s="23" t="n">
        <v>147725</v>
      </c>
      <c r="J65" s="23" t="n">
        <v>81171</v>
      </c>
      <c r="K65">
        <f>IF(OR(COUNTIF($A$5:A65,A65)&gt;1,G65&lt;0,C65="",B65&lt;'Work 1'!$C$6,B65&gt;'Work 1'!$C$7,H65&gt;'Work 1'!$C$8*AVERAGEIF($F$5:$F$1014,F65,$H$5:$H$1014)),"Excl",IF(B65&gt;='Work 1'!$C$5,"LTM","Prior"))</f>
        <v/>
      </c>
      <c r="L65">
        <f>I65-J65</f>
        <v/>
      </c>
    </row>
    <row r="66" ht="14.25" customHeight="1" s="54">
      <c r="A66" s="20" t="inlineStr">
        <is>
          <t>BH-40061</t>
        </is>
      </c>
      <c r="B66" s="21" t="n">
        <v>45505</v>
      </c>
      <c r="C66" s="20" t="inlineStr">
        <is>
          <t>C07</t>
        </is>
      </c>
      <c r="D66" s="20" t="inlineStr">
        <is>
          <t>Bramble Hill Online Store</t>
        </is>
      </c>
      <c r="E66" s="20" t="inlineStr">
        <is>
          <t>Online</t>
        </is>
      </c>
      <c r="F66" s="20" t="inlineStr">
        <is>
          <t>Nut Butter</t>
        </is>
      </c>
      <c r="G66" s="22" t="n">
        <v>1790</v>
      </c>
      <c r="H66" s="23" t="n">
        <v>61.9</v>
      </c>
      <c r="I66" s="23" t="n">
        <v>110801</v>
      </c>
      <c r="J66" s="23" t="n">
        <v>68736</v>
      </c>
      <c r="K66">
        <f>IF(OR(COUNTIF($A$5:A66,A66)&gt;1,G66&lt;0,C66="",B66&lt;'Work 1'!$C$6,B66&gt;'Work 1'!$C$7,H66&gt;'Work 1'!$C$8*AVERAGEIF($F$5:$F$1014,F66,$H$5:$H$1014)),"Excl",IF(B66&gt;='Work 1'!$C$5,"LTM","Prior"))</f>
        <v/>
      </c>
      <c r="L66">
        <f>I66-J66</f>
        <v/>
      </c>
    </row>
    <row r="67" ht="14.25" customHeight="1" s="54">
      <c r="A67" s="20" t="inlineStr">
        <is>
          <t>BH-40062</t>
        </is>
      </c>
      <c r="B67" s="21" t="n">
        <v>45505</v>
      </c>
      <c r="C67" s="20" t="inlineStr">
        <is>
          <t>C07</t>
        </is>
      </c>
      <c r="D67" s="20" t="inlineStr">
        <is>
          <t>Bramble Hill Online Store</t>
        </is>
      </c>
      <c r="E67" s="20" t="inlineStr">
        <is>
          <t>Online</t>
        </is>
      </c>
      <c r="F67" s="20" t="inlineStr">
        <is>
          <t>Snack Bars</t>
        </is>
      </c>
      <c r="G67" s="22" t="n">
        <v>2305</v>
      </c>
      <c r="H67" s="23" t="n">
        <v>37.8</v>
      </c>
      <c r="I67" s="23" t="n">
        <v>87129</v>
      </c>
      <c r="J67" s="23" t="n">
        <v>45639</v>
      </c>
      <c r="K67">
        <f>IF(OR(COUNTIF($A$5:A67,A67)&gt;1,G67&lt;0,C67="",B67&lt;'Work 1'!$C$6,B67&gt;'Work 1'!$C$7,H67&gt;'Work 1'!$C$8*AVERAGEIF($F$5:$F$1014,F67,$H$5:$H$1014)),"Excl",IF(B67&gt;='Work 1'!$C$5,"LTM","Prior"))</f>
        <v/>
      </c>
      <c r="L67">
        <f>I67-J67</f>
        <v/>
      </c>
    </row>
    <row r="68" ht="14.25" customHeight="1" s="54">
      <c r="A68" s="20" t="inlineStr">
        <is>
          <t>BH-40063</t>
        </is>
      </c>
      <c r="B68" s="21" t="n">
        <v>45505</v>
      </c>
      <c r="C68" s="20" t="inlineStr">
        <is>
          <t>C08</t>
        </is>
      </c>
      <c r="D68" s="20" t="inlineStr">
        <is>
          <t>Online Marketplace</t>
        </is>
      </c>
      <c r="E68" s="20" t="inlineStr">
        <is>
          <t>Online</t>
        </is>
      </c>
      <c r="F68" s="20" t="inlineStr">
        <is>
          <t>Granola</t>
        </is>
      </c>
      <c r="G68" s="22" t="n">
        <v>2913</v>
      </c>
      <c r="H68" s="23" t="n">
        <v>41.8</v>
      </c>
      <c r="I68" s="23" t="n">
        <v>121763.4</v>
      </c>
      <c r="J68" s="23" t="n">
        <v>76029.3</v>
      </c>
      <c r="K68">
        <f>IF(OR(COUNTIF($A$5:A68,A68)&gt;1,G68&lt;0,C68="",B68&lt;'Work 1'!$C$6,B68&gt;'Work 1'!$C$7,H68&gt;'Work 1'!$C$8*AVERAGEIF($F$5:$F$1014,F68,$H$5:$H$1014)),"Excl",IF(B68&gt;='Work 1'!$C$5,"LTM","Prior"))</f>
        <v/>
      </c>
      <c r="L68">
        <f>I68-J68</f>
        <v/>
      </c>
    </row>
    <row r="69" ht="14.25" customHeight="1" s="54">
      <c r="A69" s="20" t="inlineStr">
        <is>
          <t>BH-40064</t>
        </is>
      </c>
      <c r="B69" s="21" t="n">
        <v>45505</v>
      </c>
      <c r="C69" s="20" t="inlineStr">
        <is>
          <t>C08</t>
        </is>
      </c>
      <c r="D69" s="20" t="inlineStr">
        <is>
          <t>Online Marketplace</t>
        </is>
      </c>
      <c r="E69" s="20" t="inlineStr">
        <is>
          <t>Online</t>
        </is>
      </c>
      <c r="F69" s="20" t="inlineStr">
        <is>
          <t>Nut Butter</t>
        </is>
      </c>
      <c r="G69" s="22" t="n">
        <v>1466</v>
      </c>
      <c r="H69" s="23" t="n">
        <v>54.47</v>
      </c>
      <c r="I69" s="23" t="n">
        <v>79853.02</v>
      </c>
      <c r="J69" s="23" t="n">
        <v>56294.4</v>
      </c>
      <c r="K69">
        <f>IF(OR(COUNTIF($A$5:A69,A69)&gt;1,G69&lt;0,C69="",B69&lt;'Work 1'!$C$6,B69&gt;'Work 1'!$C$7,H69&gt;'Work 1'!$C$8*AVERAGEIF($F$5:$F$1014,F69,$H$5:$H$1014)),"Excl",IF(B69&gt;='Work 1'!$C$5,"LTM","Prior"))</f>
        <v/>
      </c>
      <c r="L69">
        <f>I69-J69</f>
        <v/>
      </c>
    </row>
    <row r="70" ht="14.25" customHeight="1" s="54">
      <c r="A70" s="20" t="inlineStr">
        <is>
          <t>BH-40065</t>
        </is>
      </c>
      <c r="B70" s="21" t="n">
        <v>45505</v>
      </c>
      <c r="C70" s="20" t="inlineStr">
        <is>
          <t>C08</t>
        </is>
      </c>
      <c r="D70" s="20" t="inlineStr">
        <is>
          <t>Online Marketplace</t>
        </is>
      </c>
      <c r="E70" s="20" t="inlineStr">
        <is>
          <t>Online</t>
        </is>
      </c>
      <c r="F70" s="20" t="inlineStr">
        <is>
          <t>Snack Bars</t>
        </is>
      </c>
      <c r="G70" s="22" t="n">
        <v>2428</v>
      </c>
      <c r="H70" s="23" t="n">
        <v>33.26</v>
      </c>
      <c r="I70" s="23" t="n">
        <v>80755.28</v>
      </c>
      <c r="J70" s="23" t="n">
        <v>48074.4</v>
      </c>
      <c r="K70">
        <f>IF(OR(COUNTIF($A$5:A70,A70)&gt;1,G70&lt;0,C70="",B70&lt;'Work 1'!$C$6,B70&gt;'Work 1'!$C$7,H70&gt;'Work 1'!$C$8*AVERAGEIF($F$5:$F$1014,F70,$H$5:$H$1014)),"Excl",IF(B70&gt;='Work 1'!$C$5,"LTM","Prior"))</f>
        <v/>
      </c>
      <c r="L70">
        <f>I70-J70</f>
        <v/>
      </c>
    </row>
    <row r="71" ht="14.25" customHeight="1" s="54">
      <c r="A71" s="20" t="inlineStr">
        <is>
          <t>BH-40066</t>
        </is>
      </c>
      <c r="B71" s="21" t="n">
        <v>45505</v>
      </c>
      <c r="C71" s="20" t="inlineStr">
        <is>
          <t>C09</t>
        </is>
      </c>
      <c r="D71" s="20" t="inlineStr">
        <is>
          <t>Maple Ridge Grocers</t>
        </is>
      </c>
      <c r="E71" s="20" t="inlineStr">
        <is>
          <t>Grocery</t>
        </is>
      </c>
      <c r="F71" s="20" t="inlineStr">
        <is>
          <t>Granola</t>
        </is>
      </c>
      <c r="G71" s="22" t="n">
        <v>1473</v>
      </c>
      <c r="H71" s="23" t="n">
        <v>41.8</v>
      </c>
      <c r="I71" s="23" t="n">
        <v>61571.4</v>
      </c>
      <c r="J71" s="23" t="n">
        <v>38445.3</v>
      </c>
      <c r="K71">
        <f>IF(OR(COUNTIF($A$5:A71,A71)&gt;1,G71&lt;0,C71="",B71&lt;'Work 1'!$C$6,B71&gt;'Work 1'!$C$7,H71&gt;'Work 1'!$C$8*AVERAGEIF($F$5:$F$1014,F71,$H$5:$H$1014)),"Excl",IF(B71&gt;='Work 1'!$C$5,"LTM","Prior"))</f>
        <v/>
      </c>
      <c r="L71">
        <f>I71-J71</f>
        <v/>
      </c>
    </row>
    <row r="72" ht="14.25" customHeight="1" s="54">
      <c r="A72" s="20" t="inlineStr">
        <is>
          <t>BH-40067</t>
        </is>
      </c>
      <c r="B72" s="21" t="n">
        <v>45505</v>
      </c>
      <c r="C72" s="20" t="inlineStr">
        <is>
          <t>C09</t>
        </is>
      </c>
      <c r="D72" s="20" t="inlineStr">
        <is>
          <t>Maple Ridge Grocers</t>
        </is>
      </c>
      <c r="E72" s="20" t="inlineStr">
        <is>
          <t>Grocery</t>
        </is>
      </c>
      <c r="F72" s="20" t="inlineStr">
        <is>
          <t>Snack Bars</t>
        </is>
      </c>
      <c r="G72" s="22" t="n">
        <v>1213</v>
      </c>
      <c r="H72" s="23" t="n">
        <v>32.4</v>
      </c>
      <c r="I72" s="23" t="n">
        <v>39301.2</v>
      </c>
      <c r="J72" s="23" t="n">
        <v>24017.4</v>
      </c>
      <c r="K72">
        <f>IF(OR(COUNTIF($A$5:A72,A72)&gt;1,G72&lt;0,C72="",B72&lt;'Work 1'!$C$6,B72&gt;'Work 1'!$C$7,H72&gt;'Work 1'!$C$8*AVERAGEIF($F$5:$F$1014,F72,$H$5:$H$1014)),"Excl",IF(B72&gt;='Work 1'!$C$5,"LTM","Prior"))</f>
        <v/>
      </c>
      <c r="L72">
        <f>I72-J72</f>
        <v/>
      </c>
    </row>
    <row r="73" ht="14.25" customHeight="1" s="54">
      <c r="A73" s="20" t="inlineStr">
        <is>
          <t>BH-40068</t>
        </is>
      </c>
      <c r="B73" s="21" t="n">
        <v>45505</v>
      </c>
      <c r="C73" s="20" t="inlineStr">
        <is>
          <t>C10</t>
        </is>
      </c>
      <c r="D73" s="20" t="inlineStr">
        <is>
          <t>Lakeshore Foods</t>
        </is>
      </c>
      <c r="E73" s="20" t="inlineStr">
        <is>
          <t>Grocery</t>
        </is>
      </c>
      <c r="F73" s="20" t="inlineStr">
        <is>
          <t>Granola</t>
        </is>
      </c>
      <c r="G73" s="22" t="n">
        <v>1355</v>
      </c>
      <c r="H73" s="23" t="n">
        <v>41.8</v>
      </c>
      <c r="I73" s="23" t="n">
        <v>56639</v>
      </c>
      <c r="J73" s="23" t="n">
        <v>35365.5</v>
      </c>
      <c r="K73">
        <f>IF(OR(COUNTIF($A$5:A73,A73)&gt;1,G73&lt;0,C73="",B73&lt;'Work 1'!$C$6,B73&gt;'Work 1'!$C$7,H73&gt;'Work 1'!$C$8*AVERAGEIF($F$5:$F$1014,F73,$H$5:$H$1014)),"Excl",IF(B73&gt;='Work 1'!$C$5,"LTM","Prior"))</f>
        <v/>
      </c>
      <c r="L73">
        <f>I73-J73</f>
        <v/>
      </c>
    </row>
    <row r="74" ht="14.25" customHeight="1" s="54">
      <c r="A74" s="20" t="inlineStr">
        <is>
          <t>BH-40069</t>
        </is>
      </c>
      <c r="B74" s="21" t="n">
        <v>45505</v>
      </c>
      <c r="C74" s="20" t="inlineStr">
        <is>
          <t>C10</t>
        </is>
      </c>
      <c r="D74" s="20" t="inlineStr">
        <is>
          <t>Lakeshore Foods</t>
        </is>
      </c>
      <c r="E74" s="20" t="inlineStr">
        <is>
          <t>Grocery</t>
        </is>
      </c>
      <c r="F74" s="20" t="inlineStr">
        <is>
          <t>Nut Butter</t>
        </is>
      </c>
      <c r="G74" s="22" t="n">
        <v>567</v>
      </c>
      <c r="H74" s="23" t="n">
        <v>55.6</v>
      </c>
      <c r="I74" s="23" t="n">
        <v>31525.2</v>
      </c>
      <c r="J74" s="23" t="n">
        <v>21772.8</v>
      </c>
      <c r="K74">
        <f>IF(OR(COUNTIF($A$5:A74,A74)&gt;1,G74&lt;0,C74="",B74&lt;'Work 1'!$C$6,B74&gt;'Work 1'!$C$7,H74&gt;'Work 1'!$C$8*AVERAGEIF($F$5:$F$1014,F74,$H$5:$H$1014)),"Excl",IF(B74&gt;='Work 1'!$C$5,"LTM","Prior"))</f>
        <v/>
      </c>
      <c r="L74">
        <f>I74-J74</f>
        <v/>
      </c>
    </row>
    <row r="75" ht="14.25" customHeight="1" s="54">
      <c r="A75" s="20" t="inlineStr">
        <is>
          <t>BH-40070</t>
        </is>
      </c>
      <c r="B75" s="21" t="n">
        <v>45505</v>
      </c>
      <c r="C75" s="20" t="inlineStr">
        <is>
          <t>C11</t>
        </is>
      </c>
      <c r="D75" s="20" t="inlineStr">
        <is>
          <t>Copper Valley Market</t>
        </is>
      </c>
      <c r="E75" s="20" t="inlineStr">
        <is>
          <t>Grocery</t>
        </is>
      </c>
      <c r="F75" s="20" t="inlineStr">
        <is>
          <t>Granola</t>
        </is>
      </c>
      <c r="G75" s="22" t="n">
        <v>1152</v>
      </c>
      <c r="H75" s="23" t="n">
        <v>41.8</v>
      </c>
      <c r="I75" s="23" t="n">
        <v>48153.6</v>
      </c>
      <c r="J75" s="23" t="n">
        <v>30067.2</v>
      </c>
      <c r="K75">
        <f>IF(OR(COUNTIF($A$5:A75,A75)&gt;1,G75&lt;0,C75="",B75&lt;'Work 1'!$C$6,B75&gt;'Work 1'!$C$7,H75&gt;'Work 1'!$C$8*AVERAGEIF($F$5:$F$1014,F75,$H$5:$H$1014)),"Excl",IF(B75&gt;='Work 1'!$C$5,"LTM","Prior"))</f>
        <v/>
      </c>
      <c r="L75">
        <f>I75-J75</f>
        <v/>
      </c>
    </row>
    <row r="76" ht="14.25" customHeight="1" s="54">
      <c r="A76" s="20" t="inlineStr">
        <is>
          <t>BH-40071</t>
        </is>
      </c>
      <c r="B76" s="21" t="n">
        <v>45505</v>
      </c>
      <c r="C76" s="20" t="inlineStr">
        <is>
          <t>C11</t>
        </is>
      </c>
      <c r="D76" s="20" t="inlineStr">
        <is>
          <t>Copper Valley Market</t>
        </is>
      </c>
      <c r="E76" s="20" t="inlineStr">
        <is>
          <t>Grocery</t>
        </is>
      </c>
      <c r="F76" s="20" t="inlineStr">
        <is>
          <t>Snack Bars</t>
        </is>
      </c>
      <c r="G76" s="22" t="n">
        <v>1178</v>
      </c>
      <c r="H76" s="23" t="n">
        <v>32.4</v>
      </c>
      <c r="I76" s="23" t="n">
        <v>38167.2</v>
      </c>
      <c r="J76" s="23" t="n">
        <v>23324.4</v>
      </c>
      <c r="K76">
        <f>IF(OR(COUNTIF($A$5:A76,A76)&gt;1,G76&lt;0,C76="",B76&lt;'Work 1'!$C$6,B76&gt;'Work 1'!$C$7,H76&gt;'Work 1'!$C$8*AVERAGEIF($F$5:$F$1014,F76,$H$5:$H$1014)),"Excl",IF(B76&gt;='Work 1'!$C$5,"LTM","Prior"))</f>
        <v/>
      </c>
      <c r="L76">
        <f>I76-J76</f>
        <v/>
      </c>
    </row>
    <row r="77" ht="14.25" customHeight="1" s="54">
      <c r="A77" s="20" t="inlineStr">
        <is>
          <t>BH-40072</t>
        </is>
      </c>
      <c r="B77" s="21" t="n">
        <v>45505</v>
      </c>
      <c r="C77" s="20" t="inlineStr">
        <is>
          <t>C12</t>
        </is>
      </c>
      <c r="D77" s="20" t="inlineStr">
        <is>
          <t>Riverbend Grocery</t>
        </is>
      </c>
      <c r="E77" s="20" t="inlineStr">
        <is>
          <t>Grocery</t>
        </is>
      </c>
      <c r="F77" s="20" t="inlineStr">
        <is>
          <t>Granola</t>
        </is>
      </c>
      <c r="G77" s="22" t="n">
        <v>1701</v>
      </c>
      <c r="H77" s="23" t="n">
        <v>41.8</v>
      </c>
      <c r="I77" s="23" t="n">
        <v>71101.8</v>
      </c>
      <c r="J77" s="23" t="n">
        <v>44396.1</v>
      </c>
      <c r="K77">
        <f>IF(OR(COUNTIF($A$5:A77,A77)&gt;1,G77&lt;0,C77="",B77&lt;'Work 1'!$C$6,B77&gt;'Work 1'!$C$7,H77&gt;'Work 1'!$C$8*AVERAGEIF($F$5:$F$1014,F77,$H$5:$H$1014)),"Excl",IF(B77&gt;='Work 1'!$C$5,"LTM","Prior"))</f>
        <v/>
      </c>
      <c r="L77">
        <f>I77-J77</f>
        <v/>
      </c>
    </row>
    <row r="78" ht="14.25" customHeight="1" s="54">
      <c r="A78" s="20" t="inlineStr">
        <is>
          <t>BH-40073</t>
        </is>
      </c>
      <c r="B78" s="21" t="n">
        <v>45505</v>
      </c>
      <c r="C78" s="20" t="inlineStr">
        <is>
          <t>C12</t>
        </is>
      </c>
      <c r="D78" s="20" t="inlineStr">
        <is>
          <t>Riverbend Grocery</t>
        </is>
      </c>
      <c r="E78" s="20" t="inlineStr">
        <is>
          <t>Grocery</t>
        </is>
      </c>
      <c r="F78" s="20" t="inlineStr">
        <is>
          <t>Nut Butter</t>
        </is>
      </c>
      <c r="G78" s="22" t="n">
        <v>702</v>
      </c>
      <c r="H78" s="23" t="n">
        <v>55.6</v>
      </c>
      <c r="I78" s="23" t="n">
        <v>39031.2</v>
      </c>
      <c r="J78" s="23" t="n">
        <v>26956.8</v>
      </c>
      <c r="K78">
        <f>IF(OR(COUNTIF($A$5:A78,A78)&gt;1,G78&lt;0,C78="",B78&lt;'Work 1'!$C$6,B78&gt;'Work 1'!$C$7,H78&gt;'Work 1'!$C$8*AVERAGEIF($F$5:$F$1014,F78,$H$5:$H$1014)),"Excl",IF(B78&gt;='Work 1'!$C$5,"LTM","Prior"))</f>
        <v/>
      </c>
      <c r="L78">
        <f>I78-J78</f>
        <v/>
      </c>
    </row>
    <row r="79" ht="14.25" customHeight="1" s="54">
      <c r="A79" s="20" t="inlineStr">
        <is>
          <t>BH-40074</t>
        </is>
      </c>
      <c r="B79" s="21" t="n">
        <v>45505</v>
      </c>
      <c r="C79" s="20" t="inlineStr">
        <is>
          <t>C13</t>
        </is>
      </c>
      <c r="D79" s="20" t="inlineStr">
        <is>
          <t>Sunfield Markets</t>
        </is>
      </c>
      <c r="E79" s="20" t="inlineStr">
        <is>
          <t>Grocery</t>
        </is>
      </c>
      <c r="F79" s="20" t="inlineStr">
        <is>
          <t>Granola</t>
        </is>
      </c>
      <c r="G79" s="22" t="n">
        <v>909</v>
      </c>
      <c r="H79" s="23" t="n">
        <v>41.8</v>
      </c>
      <c r="I79" s="23" t="n">
        <v>37996.2</v>
      </c>
      <c r="J79" s="23" t="n">
        <v>23724.9</v>
      </c>
      <c r="K79">
        <f>IF(OR(COUNTIF($A$5:A79,A79)&gt;1,G79&lt;0,C79="",B79&lt;'Work 1'!$C$6,B79&gt;'Work 1'!$C$7,H79&gt;'Work 1'!$C$8*AVERAGEIF($F$5:$F$1014,F79,$H$5:$H$1014)),"Excl",IF(B79&gt;='Work 1'!$C$5,"LTM","Prior"))</f>
        <v/>
      </c>
      <c r="L79">
        <f>I79-J79</f>
        <v/>
      </c>
    </row>
    <row r="80" ht="14.25" customHeight="1" s="54">
      <c r="A80" s="20" t="inlineStr">
        <is>
          <t>BH-40075</t>
        </is>
      </c>
      <c r="B80" s="21" t="n">
        <v>45505</v>
      </c>
      <c r="C80" s="20" t="inlineStr">
        <is>
          <t>C13</t>
        </is>
      </c>
      <c r="D80" s="20" t="inlineStr">
        <is>
          <t>Sunfield Markets</t>
        </is>
      </c>
      <c r="E80" s="20" t="inlineStr">
        <is>
          <t>Grocery</t>
        </is>
      </c>
      <c r="F80" s="20" t="inlineStr">
        <is>
          <t>Snack Bars</t>
        </is>
      </c>
      <c r="G80" s="22" t="n">
        <v>982</v>
      </c>
      <c r="H80" s="23" t="n">
        <v>32.4</v>
      </c>
      <c r="I80" s="23" t="n">
        <v>31816.8</v>
      </c>
      <c r="J80" s="23" t="n">
        <v>19443.6</v>
      </c>
      <c r="K80">
        <f>IF(OR(COUNTIF($A$5:A80,A80)&gt;1,G80&lt;0,C80="",B80&lt;'Work 1'!$C$6,B80&gt;'Work 1'!$C$7,H80&gt;'Work 1'!$C$8*AVERAGEIF($F$5:$F$1014,F80,$H$5:$H$1014)),"Excl",IF(B80&gt;='Work 1'!$C$5,"LTM","Prior"))</f>
        <v/>
      </c>
      <c r="L80">
        <f>I80-J80</f>
        <v/>
      </c>
    </row>
    <row r="81" ht="14.25" customHeight="1" s="54">
      <c r="A81" s="20" t="inlineStr">
        <is>
          <t>BH-40076</t>
        </is>
      </c>
      <c r="B81" s="21" t="n">
        <v>45505</v>
      </c>
      <c r="C81" s="20" t="inlineStr">
        <is>
          <t>C14</t>
        </is>
      </c>
      <c r="D81" s="20" t="inlineStr">
        <is>
          <t>Oak Hollow Foods</t>
        </is>
      </c>
      <c r="E81" s="20" t="inlineStr">
        <is>
          <t>Grocery</t>
        </is>
      </c>
      <c r="F81" s="20" t="inlineStr">
        <is>
          <t>Granola</t>
        </is>
      </c>
      <c r="G81" s="22" t="n">
        <v>1115</v>
      </c>
      <c r="H81" s="23" t="n">
        <v>41.8</v>
      </c>
      <c r="I81" s="23" t="n">
        <v>46607</v>
      </c>
      <c r="J81" s="23" t="n">
        <v>29101.5</v>
      </c>
      <c r="K81">
        <f>IF(OR(COUNTIF($A$5:A81,A81)&gt;1,G81&lt;0,C81="",B81&lt;'Work 1'!$C$6,B81&gt;'Work 1'!$C$7,H81&gt;'Work 1'!$C$8*AVERAGEIF($F$5:$F$1014,F81,$H$5:$H$1014)),"Excl",IF(B81&gt;='Work 1'!$C$5,"LTM","Prior"))</f>
        <v/>
      </c>
      <c r="L81">
        <f>I81-J81</f>
        <v/>
      </c>
    </row>
    <row r="82" ht="14.25" customHeight="1" s="54">
      <c r="A82" s="20" t="inlineStr">
        <is>
          <t>BH-40077</t>
        </is>
      </c>
      <c r="B82" s="21" t="n">
        <v>45505</v>
      </c>
      <c r="C82" s="20" t="inlineStr">
        <is>
          <t>C14</t>
        </is>
      </c>
      <c r="D82" s="20" t="inlineStr">
        <is>
          <t>Oak Hollow Foods</t>
        </is>
      </c>
      <c r="E82" s="20" t="inlineStr">
        <is>
          <t>Grocery</t>
        </is>
      </c>
      <c r="F82" s="20" t="inlineStr">
        <is>
          <t>Nut Butter</t>
        </is>
      </c>
      <c r="G82" s="22" t="n">
        <v>439</v>
      </c>
      <c r="H82" s="23" t="n">
        <v>55.6</v>
      </c>
      <c r="I82" s="23" t="n">
        <v>24408.4</v>
      </c>
      <c r="J82" s="23" t="n">
        <v>16857.6</v>
      </c>
      <c r="K82">
        <f>IF(OR(COUNTIF($A$5:A82,A82)&gt;1,G82&lt;0,C82="",B82&lt;'Work 1'!$C$6,B82&gt;'Work 1'!$C$7,H82&gt;'Work 1'!$C$8*AVERAGEIF($F$5:$F$1014,F82,$H$5:$H$1014)),"Excl",IF(B82&gt;='Work 1'!$C$5,"LTM","Prior"))</f>
        <v/>
      </c>
      <c r="L82">
        <f>I82-J82</f>
        <v/>
      </c>
    </row>
    <row r="83" ht="14.25" customHeight="1" s="54">
      <c r="A83" s="20" t="inlineStr">
        <is>
          <t>BH-40078</t>
        </is>
      </c>
      <c r="B83" s="21" t="n">
        <v>45505</v>
      </c>
      <c r="C83" s="20" t="inlineStr">
        <is>
          <t>C14</t>
        </is>
      </c>
      <c r="D83" s="20" t="inlineStr">
        <is>
          <t>Oak Hollow Foods</t>
        </is>
      </c>
      <c r="E83" s="20" t="inlineStr">
        <is>
          <t>Grocery</t>
        </is>
      </c>
      <c r="F83" s="20" t="inlineStr">
        <is>
          <t>Snack Bars</t>
        </is>
      </c>
      <c r="G83" s="22" t="n">
        <v>775</v>
      </c>
      <c r="H83" s="23" t="n">
        <v>32.4</v>
      </c>
      <c r="I83" s="23" t="n">
        <v>25110</v>
      </c>
      <c r="J83" s="23" t="n">
        <v>15345</v>
      </c>
      <c r="K83">
        <f>IF(OR(COUNTIF($A$5:A83,A83)&gt;1,G83&lt;0,C83="",B83&lt;'Work 1'!$C$6,B83&gt;'Work 1'!$C$7,H83&gt;'Work 1'!$C$8*AVERAGEIF($F$5:$F$1014,F83,$H$5:$H$1014)),"Excl",IF(B83&gt;='Work 1'!$C$5,"LTM","Prior"))</f>
        <v/>
      </c>
      <c r="L83">
        <f>I83-J83</f>
        <v/>
      </c>
    </row>
    <row r="84" ht="14.25" customHeight="1" s="54">
      <c r="A84" s="20" t="inlineStr">
        <is>
          <t>BH-40079</t>
        </is>
      </c>
      <c r="B84" s="21" t="n">
        <v>45505</v>
      </c>
      <c r="C84" s="20" t="inlineStr">
        <is>
          <t>C15</t>
        </is>
      </c>
      <c r="D84" s="20" t="inlineStr">
        <is>
          <t>Prairie Fresh</t>
        </is>
      </c>
      <c r="E84" s="20" t="inlineStr">
        <is>
          <t>Grocery</t>
        </is>
      </c>
      <c r="F84" s="20" t="inlineStr">
        <is>
          <t>Granola</t>
        </is>
      </c>
      <c r="G84" s="22" t="n">
        <v>1280</v>
      </c>
      <c r="H84" s="23" t="n">
        <v>41.8</v>
      </c>
      <c r="I84" s="23" t="n">
        <v>53504</v>
      </c>
      <c r="J84" s="23" t="n">
        <v>33408</v>
      </c>
      <c r="K84">
        <f>IF(OR(COUNTIF($A$5:A84,A84)&gt;1,G84&lt;0,C84="",B84&lt;'Work 1'!$C$6,B84&gt;'Work 1'!$C$7,H84&gt;'Work 1'!$C$8*AVERAGEIF($F$5:$F$1014,F84,$H$5:$H$1014)),"Excl",IF(B84&gt;='Work 1'!$C$5,"LTM","Prior"))</f>
        <v/>
      </c>
      <c r="L84">
        <f>I84-J84</f>
        <v/>
      </c>
    </row>
    <row r="85" ht="14.25" customHeight="1" s="54">
      <c r="A85" s="20" t="inlineStr">
        <is>
          <t>BH-40080</t>
        </is>
      </c>
      <c r="B85" s="21" t="n">
        <v>45505</v>
      </c>
      <c r="C85" s="20" t="inlineStr">
        <is>
          <t>C15</t>
        </is>
      </c>
      <c r="D85" s="20" t="inlineStr">
        <is>
          <t>Prairie Fresh</t>
        </is>
      </c>
      <c r="E85" s="20" t="inlineStr">
        <is>
          <t>Grocery</t>
        </is>
      </c>
      <c r="F85" s="20" t="inlineStr">
        <is>
          <t>Snack Bars</t>
        </is>
      </c>
      <c r="G85" s="22" t="n">
        <v>969</v>
      </c>
      <c r="H85" s="23" t="n">
        <v>32.4</v>
      </c>
      <c r="I85" s="23" t="n">
        <v>31395.6</v>
      </c>
      <c r="J85" s="23" t="n">
        <v>19186.2</v>
      </c>
      <c r="K85">
        <f>IF(OR(COUNTIF($A$5:A85,A85)&gt;1,G85&lt;0,C85="",B85&lt;'Work 1'!$C$6,B85&gt;'Work 1'!$C$7,H85&gt;'Work 1'!$C$8*AVERAGEIF($F$5:$F$1014,F85,$H$5:$H$1014)),"Excl",IF(B85&gt;='Work 1'!$C$5,"LTM","Prior"))</f>
        <v/>
      </c>
      <c r="L85">
        <f>I85-J85</f>
        <v/>
      </c>
    </row>
    <row r="86" ht="14.25" customHeight="1" s="54">
      <c r="A86" s="20" t="inlineStr">
        <is>
          <t>BH-40081</t>
        </is>
      </c>
      <c r="B86" s="21" t="n">
        <v>45505</v>
      </c>
      <c r="C86" s="20" t="inlineStr">
        <is>
          <t>C16</t>
        </is>
      </c>
      <c r="D86" s="20" t="inlineStr">
        <is>
          <t>Bay Street Market</t>
        </is>
      </c>
      <c r="E86" s="20" t="inlineStr">
        <is>
          <t>Grocery</t>
        </is>
      </c>
      <c r="F86" s="20" t="inlineStr">
        <is>
          <t>Granola</t>
        </is>
      </c>
      <c r="G86" s="22" t="n">
        <v>969</v>
      </c>
      <c r="H86" s="23" t="n">
        <v>41.8</v>
      </c>
      <c r="I86" s="23" t="n">
        <v>40504.2</v>
      </c>
      <c r="J86" s="23" t="n">
        <v>25290.9</v>
      </c>
      <c r="K86">
        <f>IF(OR(COUNTIF($A$5:A86,A86)&gt;1,G86&lt;0,C86="",B86&lt;'Work 1'!$C$6,B86&gt;'Work 1'!$C$7,H86&gt;'Work 1'!$C$8*AVERAGEIF($F$5:$F$1014,F86,$H$5:$H$1014)),"Excl",IF(B86&gt;='Work 1'!$C$5,"LTM","Prior"))</f>
        <v/>
      </c>
      <c r="L86">
        <f>I86-J86</f>
        <v/>
      </c>
    </row>
    <row r="87" ht="14.25" customHeight="1" s="54">
      <c r="A87" s="20" t="inlineStr">
        <is>
          <t>BH-40082</t>
        </is>
      </c>
      <c r="B87" s="21" t="n">
        <v>45505</v>
      </c>
      <c r="C87" s="20" t="inlineStr">
        <is>
          <t>C16</t>
        </is>
      </c>
      <c r="D87" s="20" t="inlineStr">
        <is>
          <t>Bay Street Market</t>
        </is>
      </c>
      <c r="E87" s="20" t="inlineStr">
        <is>
          <t>Grocery</t>
        </is>
      </c>
      <c r="F87" s="20" t="inlineStr">
        <is>
          <t>Nut Butter</t>
        </is>
      </c>
      <c r="G87" s="22" t="n">
        <v>564</v>
      </c>
      <c r="H87" s="23" t="n">
        <v>55.6</v>
      </c>
      <c r="I87" s="23" t="n">
        <v>31358.4</v>
      </c>
      <c r="J87" s="23" t="n">
        <v>21657.6</v>
      </c>
      <c r="K87">
        <f>IF(OR(COUNTIF($A$5:A87,A87)&gt;1,G87&lt;0,C87="",B87&lt;'Work 1'!$C$6,B87&gt;'Work 1'!$C$7,H87&gt;'Work 1'!$C$8*AVERAGEIF($F$5:$F$1014,F87,$H$5:$H$1014)),"Excl",IF(B87&gt;='Work 1'!$C$5,"LTM","Prior"))</f>
        <v/>
      </c>
      <c r="L87">
        <f>I87-J87</f>
        <v/>
      </c>
    </row>
    <row r="88" ht="14.25" customHeight="1" s="54">
      <c r="A88" s="20" t="inlineStr">
        <is>
          <t>BH-40083</t>
        </is>
      </c>
      <c r="B88" s="21" t="n">
        <v>45505</v>
      </c>
      <c r="C88" s="20" t="inlineStr">
        <is>
          <t>C17</t>
        </is>
      </c>
      <c r="D88" s="20" t="inlineStr">
        <is>
          <t>Eastgate Grocers</t>
        </is>
      </c>
      <c r="E88" s="20" t="inlineStr">
        <is>
          <t>Grocery</t>
        </is>
      </c>
      <c r="F88" s="20" t="inlineStr">
        <is>
          <t>Granola</t>
        </is>
      </c>
      <c r="G88" s="22" t="n">
        <v>1350</v>
      </c>
      <c r="H88" s="23" t="n">
        <v>41.8</v>
      </c>
      <c r="I88" s="23" t="n">
        <v>56430</v>
      </c>
      <c r="J88" s="23" t="n">
        <v>35235</v>
      </c>
      <c r="K88">
        <f>IF(OR(COUNTIF($A$5:A88,A88)&gt;1,G88&lt;0,C88="",B88&lt;'Work 1'!$C$6,B88&gt;'Work 1'!$C$7,H88&gt;'Work 1'!$C$8*AVERAGEIF($F$5:$F$1014,F88,$H$5:$H$1014)),"Excl",IF(B88&gt;='Work 1'!$C$5,"LTM","Prior"))</f>
        <v/>
      </c>
      <c r="L88">
        <f>I88-J88</f>
        <v/>
      </c>
    </row>
    <row r="89" ht="14.25" customHeight="1" s="54">
      <c r="A89" s="20" t="inlineStr">
        <is>
          <t>BH-40084</t>
        </is>
      </c>
      <c r="B89" s="21" t="n">
        <v>45505</v>
      </c>
      <c r="C89" s="20" t="inlineStr">
        <is>
          <t>C17</t>
        </is>
      </c>
      <c r="D89" s="20" t="inlineStr">
        <is>
          <t>Eastgate Grocers</t>
        </is>
      </c>
      <c r="E89" s="20" t="inlineStr">
        <is>
          <t>Grocery</t>
        </is>
      </c>
      <c r="F89" s="20" t="inlineStr">
        <is>
          <t>Snack Bars</t>
        </is>
      </c>
      <c r="G89" s="22" t="n">
        <v>957</v>
      </c>
      <c r="H89" s="23" t="n">
        <v>32.4</v>
      </c>
      <c r="I89" s="23" t="n">
        <v>31006.8</v>
      </c>
      <c r="J89" s="23" t="n">
        <v>18948.6</v>
      </c>
      <c r="K89">
        <f>IF(OR(COUNTIF($A$5:A89,A89)&gt;1,G89&lt;0,C89="",B89&lt;'Work 1'!$C$6,B89&gt;'Work 1'!$C$7,H89&gt;'Work 1'!$C$8*AVERAGEIF($F$5:$F$1014,F89,$H$5:$H$1014)),"Excl",IF(B89&gt;='Work 1'!$C$5,"LTM","Prior"))</f>
        <v/>
      </c>
      <c r="L89">
        <f>I89-J89</f>
        <v/>
      </c>
    </row>
    <row r="90" ht="14.25" customHeight="1" s="54">
      <c r="A90" s="20" t="inlineStr">
        <is>
          <t>BH-40085</t>
        </is>
      </c>
      <c r="B90" s="21" t="n">
        <v>45505</v>
      </c>
      <c r="C90" s="20" t="inlineStr">
        <is>
          <t>C18</t>
        </is>
      </c>
      <c r="D90" s="20" t="inlineStr">
        <is>
          <t>Hillcrest Food Co.</t>
        </is>
      </c>
      <c r="E90" s="20" t="inlineStr">
        <is>
          <t>Grocery</t>
        </is>
      </c>
      <c r="F90" s="20" t="inlineStr">
        <is>
          <t>Granola</t>
        </is>
      </c>
      <c r="G90" s="22" t="n">
        <v>977</v>
      </c>
      <c r="H90" s="23" t="n">
        <v>41.8</v>
      </c>
      <c r="I90" s="23" t="n">
        <v>40838.6</v>
      </c>
      <c r="J90" s="23" t="n">
        <v>25499.7</v>
      </c>
      <c r="K90">
        <f>IF(OR(COUNTIF($A$5:A90,A90)&gt;1,G90&lt;0,C90="",B90&lt;'Work 1'!$C$6,B90&gt;'Work 1'!$C$7,H90&gt;'Work 1'!$C$8*AVERAGEIF($F$5:$F$1014,F90,$H$5:$H$1014)),"Excl",IF(B90&gt;='Work 1'!$C$5,"LTM","Prior"))</f>
        <v/>
      </c>
      <c r="L90">
        <f>I90-J90</f>
        <v/>
      </c>
    </row>
    <row r="91" ht="14.25" customHeight="1" s="54">
      <c r="A91" s="20" t="inlineStr">
        <is>
          <t>BH-40086</t>
        </is>
      </c>
      <c r="B91" s="21" t="n">
        <v>45505</v>
      </c>
      <c r="C91" s="20" t="inlineStr">
        <is>
          <t>C18</t>
        </is>
      </c>
      <c r="D91" s="20" t="inlineStr">
        <is>
          <t>Hillcrest Food Co.</t>
        </is>
      </c>
      <c r="E91" s="20" t="inlineStr">
        <is>
          <t>Grocery</t>
        </is>
      </c>
      <c r="F91" s="20" t="inlineStr">
        <is>
          <t>Nut Butter</t>
        </is>
      </c>
      <c r="G91" s="22" t="n">
        <v>414</v>
      </c>
      <c r="H91" s="23" t="n">
        <v>55.6</v>
      </c>
      <c r="I91" s="23" t="n">
        <v>23018.4</v>
      </c>
      <c r="J91" s="23" t="n">
        <v>15897.6</v>
      </c>
      <c r="K91">
        <f>IF(OR(COUNTIF($A$5:A91,A91)&gt;1,G91&lt;0,C91="",B91&lt;'Work 1'!$C$6,B91&gt;'Work 1'!$C$7,H91&gt;'Work 1'!$C$8*AVERAGEIF($F$5:$F$1014,F91,$H$5:$H$1014)),"Excl",IF(B91&gt;='Work 1'!$C$5,"LTM","Prior"))</f>
        <v/>
      </c>
      <c r="L91">
        <f>I91-J91</f>
        <v/>
      </c>
    </row>
    <row r="92" ht="14.25" customHeight="1" s="54">
      <c r="A92" s="20" t="inlineStr">
        <is>
          <t>BH-40087</t>
        </is>
      </c>
      <c r="B92" s="21" t="n">
        <v>45536</v>
      </c>
      <c r="C92" s="20" t="inlineStr">
        <is>
          <t>C01</t>
        </is>
      </c>
      <c r="D92" s="20" t="inlineStr">
        <is>
          <t>Northfield Markets</t>
        </is>
      </c>
      <c r="E92" s="20" t="inlineStr">
        <is>
          <t>Grocery</t>
        </is>
      </c>
      <c r="F92" s="20" t="inlineStr">
        <is>
          <t>Granola</t>
        </is>
      </c>
      <c r="G92" s="22" t="n">
        <v>13564</v>
      </c>
      <c r="H92" s="23" t="n">
        <v>39.29</v>
      </c>
      <c r="I92" s="23" t="n">
        <v>532929.5600000001</v>
      </c>
      <c r="J92" s="23" t="n">
        <v>354020.4</v>
      </c>
      <c r="K92">
        <f>IF(OR(COUNTIF($A$5:A92,A92)&gt;1,G92&lt;0,C92="",B92&lt;'Work 1'!$C$6,B92&gt;'Work 1'!$C$7,H92&gt;'Work 1'!$C$8*AVERAGEIF($F$5:$F$1014,F92,$H$5:$H$1014)),"Excl",IF(B92&gt;='Work 1'!$C$5,"LTM","Prior"))</f>
        <v/>
      </c>
      <c r="L92">
        <f>I92-J92</f>
        <v/>
      </c>
    </row>
    <row r="93" ht="14.25" customHeight="1" s="54">
      <c r="A93" s="20" t="inlineStr">
        <is>
          <t>BH-40088</t>
        </is>
      </c>
      <c r="B93" s="21" t="n">
        <v>45536</v>
      </c>
      <c r="C93" s="20" t="inlineStr">
        <is>
          <t>C01</t>
        </is>
      </c>
      <c r="D93" s="20" t="inlineStr">
        <is>
          <t>Northfield Markets</t>
        </is>
      </c>
      <c r="E93" s="20" t="inlineStr">
        <is>
          <t>Grocery</t>
        </is>
      </c>
      <c r="F93" s="20" t="inlineStr">
        <is>
          <t>Nut Butter</t>
        </is>
      </c>
      <c r="G93" s="22" t="n">
        <v>6629</v>
      </c>
      <c r="H93" s="23" t="n">
        <v>52.26</v>
      </c>
      <c r="I93" s="23" t="n">
        <v>346431.54</v>
      </c>
      <c r="J93" s="23" t="n">
        <v>254553.6</v>
      </c>
      <c r="K93">
        <f>IF(OR(COUNTIF($A$5:A93,A93)&gt;1,G93&lt;0,C93="",B93&lt;'Work 1'!$C$6,B93&gt;'Work 1'!$C$7,H93&gt;'Work 1'!$C$8*AVERAGEIF($F$5:$F$1014,F93,$H$5:$H$1014)),"Excl",IF(B93&gt;='Work 1'!$C$5,"LTM","Prior"))</f>
        <v/>
      </c>
      <c r="L93">
        <f>I93-J93</f>
        <v/>
      </c>
    </row>
    <row r="94" ht="14.25" customHeight="1" s="54">
      <c r="A94" s="20" t="inlineStr">
        <is>
          <t>BH-40089</t>
        </is>
      </c>
      <c r="B94" s="21" t="n">
        <v>45536</v>
      </c>
      <c r="C94" s="20" t="inlineStr">
        <is>
          <t>C01</t>
        </is>
      </c>
      <c r="D94" s="20" t="inlineStr">
        <is>
          <t>Northfield Markets</t>
        </is>
      </c>
      <c r="E94" s="20" t="inlineStr">
        <is>
          <t>Grocery</t>
        </is>
      </c>
      <c r="F94" s="20" t="inlineStr">
        <is>
          <t>Snack Bars</t>
        </is>
      </c>
      <c r="G94" s="22" t="n">
        <v>9242</v>
      </c>
      <c r="H94" s="23" t="n">
        <v>30.46</v>
      </c>
      <c r="I94" s="23" t="n">
        <v>281511.32</v>
      </c>
      <c r="J94" s="23" t="n">
        <v>182991.6</v>
      </c>
      <c r="K94">
        <f>IF(OR(COUNTIF($A$5:A94,A94)&gt;1,G94&lt;0,C94="",B94&lt;'Work 1'!$C$6,B94&gt;'Work 1'!$C$7,H94&gt;'Work 1'!$C$8*AVERAGEIF($F$5:$F$1014,F94,$H$5:$H$1014)),"Excl",IF(B94&gt;='Work 1'!$C$5,"LTM","Prior"))</f>
        <v/>
      </c>
      <c r="L94">
        <f>I94-J94</f>
        <v/>
      </c>
    </row>
    <row r="95" ht="14.25" customHeight="1" s="54">
      <c r="A95" s="20" t="inlineStr">
        <is>
          <t>BH-40090</t>
        </is>
      </c>
      <c r="B95" s="21" t="n">
        <v>45536</v>
      </c>
      <c r="C95" s="20" t="inlineStr">
        <is>
          <t>C02</t>
        </is>
      </c>
      <c r="D95" s="20" t="inlineStr">
        <is>
          <t>Crestline Grocers</t>
        </is>
      </c>
      <c r="E95" s="20" t="inlineStr">
        <is>
          <t>Grocery</t>
        </is>
      </c>
      <c r="F95" s="20" t="inlineStr">
        <is>
          <t>Granola</t>
        </is>
      </c>
      <c r="G95" s="22" t="n">
        <v>3764</v>
      </c>
      <c r="H95" s="23" t="n">
        <v>40.55</v>
      </c>
      <c r="I95" s="23" t="n">
        <v>152630.2</v>
      </c>
      <c r="J95" s="23" t="n">
        <v>98240.39999999999</v>
      </c>
      <c r="K95">
        <f>IF(OR(COUNTIF($A$5:A95,A95)&gt;1,G95&lt;0,C95="",B95&lt;'Work 1'!$C$6,B95&gt;'Work 1'!$C$7,H95&gt;'Work 1'!$C$8*AVERAGEIF($F$5:$F$1014,F95,$H$5:$H$1014)),"Excl",IF(B95&gt;='Work 1'!$C$5,"LTM","Prior"))</f>
        <v/>
      </c>
      <c r="L95">
        <f>I95-J95</f>
        <v/>
      </c>
    </row>
    <row r="96" ht="14.25" customHeight="1" s="54">
      <c r="A96" s="20" t="inlineStr">
        <is>
          <t>BH-40091</t>
        </is>
      </c>
      <c r="B96" s="21" t="n">
        <v>45536</v>
      </c>
      <c r="C96" s="20" t="inlineStr">
        <is>
          <t>C02</t>
        </is>
      </c>
      <c r="D96" s="20" t="inlineStr">
        <is>
          <t>Crestline Grocers</t>
        </is>
      </c>
      <c r="E96" s="20" t="inlineStr">
        <is>
          <t>Grocery</t>
        </is>
      </c>
      <c r="F96" s="20" t="inlineStr">
        <is>
          <t>Nut Butter</t>
        </is>
      </c>
      <c r="G96" s="22" t="n">
        <v>1983</v>
      </c>
      <c r="H96" s="23" t="n">
        <v>53.93</v>
      </c>
      <c r="I96" s="23" t="n">
        <v>106943.19</v>
      </c>
      <c r="J96" s="23" t="n">
        <v>76147.2</v>
      </c>
      <c r="K96">
        <f>IF(OR(COUNTIF($A$5:A96,A96)&gt;1,G96&lt;0,C96="",B96&lt;'Work 1'!$C$6,B96&gt;'Work 1'!$C$7,H96&gt;'Work 1'!$C$8*AVERAGEIF($F$5:$F$1014,F96,$H$5:$H$1014)),"Excl",IF(B96&gt;='Work 1'!$C$5,"LTM","Prior"))</f>
        <v/>
      </c>
      <c r="L96">
        <f>I96-J96</f>
        <v/>
      </c>
    </row>
    <row r="97" ht="14.25" customHeight="1" s="54">
      <c r="A97" s="20" t="inlineStr">
        <is>
          <t>BH-40092</t>
        </is>
      </c>
      <c r="B97" s="21" t="n">
        <v>45536</v>
      </c>
      <c r="C97" s="20" t="inlineStr">
        <is>
          <t>C02</t>
        </is>
      </c>
      <c r="D97" s="20" t="inlineStr">
        <is>
          <t>Crestline Grocers</t>
        </is>
      </c>
      <c r="E97" s="20" t="inlineStr">
        <is>
          <t>Grocery</t>
        </is>
      </c>
      <c r="F97" s="20" t="inlineStr">
        <is>
          <t>Snack Bars</t>
        </is>
      </c>
      <c r="G97" s="22" t="n">
        <v>3442</v>
      </c>
      <c r="H97" s="23" t="n">
        <v>31.43</v>
      </c>
      <c r="I97" s="23" t="n">
        <v>108182.06</v>
      </c>
      <c r="J97" s="23" t="n">
        <v>68151.60000000001</v>
      </c>
      <c r="K97">
        <f>IF(OR(COUNTIF($A$5:A97,A97)&gt;1,G97&lt;0,C97="",B97&lt;'Work 1'!$C$6,B97&gt;'Work 1'!$C$7,H97&gt;'Work 1'!$C$8*AVERAGEIF($F$5:$F$1014,F97,$H$5:$H$1014)),"Excl",IF(B97&gt;='Work 1'!$C$5,"LTM","Prior"))</f>
        <v/>
      </c>
      <c r="L97">
        <f>I97-J97</f>
        <v/>
      </c>
    </row>
    <row r="98" ht="14.25" customHeight="1" s="54">
      <c r="A98" s="20" t="inlineStr">
        <is>
          <t>BH-40093</t>
        </is>
      </c>
      <c r="B98" s="21" t="n">
        <v>45536</v>
      </c>
      <c r="C98" s="20" t="inlineStr">
        <is>
          <t>C03</t>
        </is>
      </c>
      <c r="D98" s="20" t="inlineStr">
        <is>
          <t>ValuClub Warehouse</t>
        </is>
      </c>
      <c r="E98" s="20" t="inlineStr">
        <is>
          <t>Club</t>
        </is>
      </c>
      <c r="F98" s="20" t="inlineStr">
        <is>
          <t>Granola</t>
        </is>
      </c>
      <c r="G98" s="22" t="n">
        <v>11472</v>
      </c>
      <c r="H98" s="23" t="n">
        <v>35.9</v>
      </c>
      <c r="I98" s="23" t="n">
        <v>411844.8</v>
      </c>
      <c r="J98" s="23" t="n">
        <v>299419.2</v>
      </c>
      <c r="K98">
        <f>IF(OR(COUNTIF($A$5:A98,A98)&gt;1,G98&lt;0,C98="",B98&lt;'Work 1'!$C$6,B98&gt;'Work 1'!$C$7,H98&gt;'Work 1'!$C$8*AVERAGEIF($F$5:$F$1014,F98,$H$5:$H$1014)),"Excl",IF(B98&gt;='Work 1'!$C$5,"LTM","Prior"))</f>
        <v/>
      </c>
      <c r="L98">
        <f>I98-J98</f>
        <v/>
      </c>
    </row>
    <row r="99" ht="14.25" customHeight="1" s="54">
      <c r="A99" s="20" t="inlineStr">
        <is>
          <t>BH-40094</t>
        </is>
      </c>
      <c r="B99" s="21" t="n">
        <v>45536</v>
      </c>
      <c r="C99" s="20" t="inlineStr">
        <is>
          <t>C03</t>
        </is>
      </c>
      <c r="D99" s="20" t="inlineStr">
        <is>
          <t>ValuClub Warehouse</t>
        </is>
      </c>
      <c r="E99" s="20" t="inlineStr">
        <is>
          <t>Club</t>
        </is>
      </c>
      <c r="F99" s="20" t="inlineStr">
        <is>
          <t>Snack Bars</t>
        </is>
      </c>
      <c r="G99" s="22" t="n">
        <v>12914</v>
      </c>
      <c r="H99" s="23" t="n">
        <v>27.4</v>
      </c>
      <c r="I99" s="23" t="n">
        <v>353843.6</v>
      </c>
      <c r="J99" s="23" t="n">
        <v>255697.2</v>
      </c>
      <c r="K99">
        <f>IF(OR(COUNTIF($A$5:A99,A99)&gt;1,G99&lt;0,C99="",B99&lt;'Work 1'!$C$6,B99&gt;'Work 1'!$C$7,H99&gt;'Work 1'!$C$8*AVERAGEIF($F$5:$F$1014,F99,$H$5:$H$1014)),"Excl",IF(B99&gt;='Work 1'!$C$5,"LTM","Prior"))</f>
        <v/>
      </c>
      <c r="L99">
        <f>I99-J99</f>
        <v/>
      </c>
    </row>
    <row r="100" ht="14.25" customHeight="1" s="54">
      <c r="A100" s="20" t="inlineStr">
        <is>
          <t>BH-40095</t>
        </is>
      </c>
      <c r="B100" s="21" t="n">
        <v>45536</v>
      </c>
      <c r="C100" s="20" t="inlineStr">
        <is>
          <t>C04</t>
        </is>
      </c>
      <c r="D100" s="20" t="inlineStr">
        <is>
          <t>Harvest Lane Co-op</t>
        </is>
      </c>
      <c r="E100" s="20" t="inlineStr">
        <is>
          <t>Grocery</t>
        </is>
      </c>
      <c r="F100" s="20" t="inlineStr">
        <is>
          <t>Granola</t>
        </is>
      </c>
      <c r="G100" s="22" t="n">
        <v>2826</v>
      </c>
      <c r="H100" s="23" t="n">
        <v>41.8</v>
      </c>
      <c r="I100" s="23" t="n">
        <v>118126.8</v>
      </c>
      <c r="J100" s="23" t="n">
        <v>73758.60000000001</v>
      </c>
      <c r="K100">
        <f>IF(OR(COUNTIF($A$5:A100,A100)&gt;1,G100&lt;0,C100="",B100&lt;'Work 1'!$C$6,B100&gt;'Work 1'!$C$7,H100&gt;'Work 1'!$C$8*AVERAGEIF($F$5:$F$1014,F100,$H$5:$H$1014)),"Excl",IF(B100&gt;='Work 1'!$C$5,"LTM","Prior"))</f>
        <v/>
      </c>
      <c r="L100">
        <f>I100-J100</f>
        <v/>
      </c>
    </row>
    <row r="101" ht="14.25" customHeight="1" s="54">
      <c r="A101" s="20" t="inlineStr">
        <is>
          <t>BH-40096</t>
        </is>
      </c>
      <c r="B101" s="21" t="n">
        <v>45536</v>
      </c>
      <c r="C101" s="20" t="inlineStr">
        <is>
          <t>C04</t>
        </is>
      </c>
      <c r="D101" s="20" t="inlineStr">
        <is>
          <t>Harvest Lane Co-op</t>
        </is>
      </c>
      <c r="E101" s="20" t="inlineStr">
        <is>
          <t>Grocery</t>
        </is>
      </c>
      <c r="F101" s="20" t="inlineStr">
        <is>
          <t>Nut Butter</t>
        </is>
      </c>
      <c r="G101" s="22" t="n">
        <v>1512</v>
      </c>
      <c r="H101" s="23" t="n">
        <v>55.6</v>
      </c>
      <c r="I101" s="23" t="n">
        <v>84067.2</v>
      </c>
      <c r="J101" s="23" t="n">
        <v>58060.8</v>
      </c>
      <c r="K101">
        <f>IF(OR(COUNTIF($A$5:A101,A101)&gt;1,G101&lt;0,C101="",B101&lt;'Work 1'!$C$6,B101&gt;'Work 1'!$C$7,H101&gt;'Work 1'!$C$8*AVERAGEIF($F$5:$F$1014,F101,$H$5:$H$1014)),"Excl",IF(B101&gt;='Work 1'!$C$5,"LTM","Prior"))</f>
        <v/>
      </c>
      <c r="L101">
        <f>I101-J101</f>
        <v/>
      </c>
    </row>
    <row r="102" ht="14.25" customHeight="1" s="54">
      <c r="A102" s="20" t="inlineStr">
        <is>
          <t>BH-40097</t>
        </is>
      </c>
      <c r="B102" s="21" t="n">
        <v>45536</v>
      </c>
      <c r="C102" s="20" t="inlineStr">
        <is>
          <t>C04</t>
        </is>
      </c>
      <c r="D102" s="20" t="inlineStr">
        <is>
          <t>Harvest Lane Co-op</t>
        </is>
      </c>
      <c r="E102" s="20" t="inlineStr">
        <is>
          <t>Grocery</t>
        </is>
      </c>
      <c r="F102" s="20" t="inlineStr">
        <is>
          <t>Snack Bars</t>
        </is>
      </c>
      <c r="G102" s="22" t="n">
        <v>1856</v>
      </c>
      <c r="H102" s="23" t="n">
        <v>32.4</v>
      </c>
      <c r="I102" s="23" t="n">
        <v>60134.4</v>
      </c>
      <c r="J102" s="23" t="n">
        <v>36748.8</v>
      </c>
      <c r="K102">
        <f>IF(OR(COUNTIF($A$5:A102,A102)&gt;1,G102&lt;0,C102="",B102&lt;'Work 1'!$C$6,B102&gt;'Work 1'!$C$7,H102&gt;'Work 1'!$C$8*AVERAGEIF($F$5:$F$1014,F102,$H$5:$H$1014)),"Excl",IF(B102&gt;='Work 1'!$C$5,"LTM","Prior"))</f>
        <v/>
      </c>
      <c r="L102">
        <f>I102-J102</f>
        <v/>
      </c>
    </row>
    <row r="103" ht="14.25" customHeight="1" s="54">
      <c r="A103" s="20" t="inlineStr">
        <is>
          <t>BH-40098</t>
        </is>
      </c>
      <c r="B103" s="21" t="n">
        <v>45536</v>
      </c>
      <c r="C103" s="20" t="inlineStr">
        <is>
          <t>C05</t>
        </is>
      </c>
      <c r="D103" s="20" t="inlineStr">
        <is>
          <t>Pioneer Foods Distribution</t>
        </is>
      </c>
      <c r="E103" s="20" t="inlineStr">
        <is>
          <t>Grocery</t>
        </is>
      </c>
      <c r="F103" s="20" t="inlineStr">
        <is>
          <t>Granola</t>
        </is>
      </c>
      <c r="G103" s="22" t="n">
        <v>3624</v>
      </c>
      <c r="H103" s="23" t="n">
        <v>37.62</v>
      </c>
      <c r="I103" s="23" t="n">
        <v>136334.88</v>
      </c>
      <c r="J103" s="23" t="n">
        <v>94586.39999999999</v>
      </c>
      <c r="K103">
        <f>IF(OR(COUNTIF($A$5:A103,A103)&gt;1,G103&lt;0,C103="",B103&lt;'Work 1'!$C$6,B103&gt;'Work 1'!$C$7,H103&gt;'Work 1'!$C$8*AVERAGEIF($F$5:$F$1014,F103,$H$5:$H$1014)),"Excl",IF(B103&gt;='Work 1'!$C$5,"LTM","Prior"))</f>
        <v/>
      </c>
      <c r="L103">
        <f>I103-J103</f>
        <v/>
      </c>
    </row>
    <row r="104" ht="14.25" customHeight="1" s="54">
      <c r="A104" s="20" t="inlineStr">
        <is>
          <t>BH-40099</t>
        </is>
      </c>
      <c r="B104" s="21" t="n">
        <v>45536</v>
      </c>
      <c r="C104" s="20" t="inlineStr">
        <is>
          <t>C05</t>
        </is>
      </c>
      <c r="D104" s="20" t="inlineStr">
        <is>
          <t>Pioneer Foods Distribution</t>
        </is>
      </c>
      <c r="E104" s="20" t="inlineStr">
        <is>
          <t>Grocery</t>
        </is>
      </c>
      <c r="F104" s="20" t="inlineStr">
        <is>
          <t>Nut Butter</t>
        </is>
      </c>
      <c r="G104" s="22" t="n">
        <v>2098</v>
      </c>
      <c r="H104" s="23" t="n">
        <v>50.04</v>
      </c>
      <c r="I104" s="23" t="n">
        <v>104983.92</v>
      </c>
      <c r="J104" s="23" t="n">
        <v>80563.2</v>
      </c>
      <c r="K104">
        <f>IF(OR(COUNTIF($A$5:A104,A104)&gt;1,G104&lt;0,C104="",B104&lt;'Work 1'!$C$6,B104&gt;'Work 1'!$C$7,H104&gt;'Work 1'!$C$8*AVERAGEIF($F$5:$F$1014,F104,$H$5:$H$1014)),"Excl",IF(B104&gt;='Work 1'!$C$5,"LTM","Prior"))</f>
        <v/>
      </c>
      <c r="L104">
        <f>I104-J104</f>
        <v/>
      </c>
    </row>
    <row r="105" ht="14.25" customHeight="1" s="54">
      <c r="A105" s="20" t="inlineStr">
        <is>
          <t>BH-40100</t>
        </is>
      </c>
      <c r="B105" s="21" t="n">
        <v>45536</v>
      </c>
      <c r="C105" s="20" t="inlineStr">
        <is>
          <t>C05</t>
        </is>
      </c>
      <c r="D105" s="20" t="inlineStr">
        <is>
          <t>Pioneer Foods Distribution</t>
        </is>
      </c>
      <c r="E105" s="20" t="inlineStr">
        <is>
          <t>Grocery</t>
        </is>
      </c>
      <c r="F105" s="20" t="inlineStr">
        <is>
          <t>Snack Bars</t>
        </is>
      </c>
      <c r="G105" s="22" t="n">
        <v>3290</v>
      </c>
      <c r="H105" s="23" t="n">
        <v>29.16</v>
      </c>
      <c r="I105" s="23" t="n">
        <v>95936.39999999999</v>
      </c>
      <c r="J105" s="23" t="n">
        <v>65142</v>
      </c>
      <c r="K105">
        <f>IF(OR(COUNTIF($A$5:A105,A105)&gt;1,G105&lt;0,C105="",B105&lt;'Work 1'!$C$6,B105&gt;'Work 1'!$C$7,H105&gt;'Work 1'!$C$8*AVERAGEIF($F$5:$F$1014,F105,$H$5:$H$1014)),"Excl",IF(B105&gt;='Work 1'!$C$5,"LTM","Prior"))</f>
        <v/>
      </c>
      <c r="L105">
        <f>I105-J105</f>
        <v/>
      </c>
    </row>
    <row r="106" ht="14.25" customHeight="1" s="54">
      <c r="A106" s="20" t="inlineStr">
        <is>
          <t>BH-40101</t>
        </is>
      </c>
      <c r="B106" s="21" t="n">
        <v>45536</v>
      </c>
      <c r="C106" s="20" t="inlineStr">
        <is>
          <t>C06</t>
        </is>
      </c>
      <c r="D106" s="20" t="inlineStr">
        <is>
          <t>Summit Club Stores</t>
        </is>
      </c>
      <c r="E106" s="20" t="inlineStr">
        <is>
          <t>Club</t>
        </is>
      </c>
      <c r="F106" s="20" t="inlineStr">
        <is>
          <t>Granola</t>
        </is>
      </c>
      <c r="G106" s="22" t="n">
        <v>4952</v>
      </c>
      <c r="H106" s="23" t="n">
        <v>35.9</v>
      </c>
      <c r="I106" s="23" t="n">
        <v>177776.8</v>
      </c>
      <c r="J106" s="23" t="n">
        <v>129247.2</v>
      </c>
      <c r="K106">
        <f>IF(OR(COUNTIF($A$5:A106,A106)&gt;1,G106&lt;0,C106="",B106&lt;'Work 1'!$C$6,B106&gt;'Work 1'!$C$7,H106&gt;'Work 1'!$C$8*AVERAGEIF($F$5:$F$1014,F106,$H$5:$H$1014)),"Excl",IF(B106&gt;='Work 1'!$C$5,"LTM","Prior"))</f>
        <v/>
      </c>
      <c r="L106">
        <f>I106-J106</f>
        <v/>
      </c>
    </row>
    <row r="107" ht="14.25" customHeight="1" s="54">
      <c r="A107" s="20" t="inlineStr">
        <is>
          <t>BH-40102</t>
        </is>
      </c>
      <c r="B107" s="21" t="n">
        <v>45536</v>
      </c>
      <c r="C107" s="20" t="inlineStr">
        <is>
          <t>C06</t>
        </is>
      </c>
      <c r="D107" s="20" t="inlineStr">
        <is>
          <t>Summit Club Stores</t>
        </is>
      </c>
      <c r="E107" s="20" t="inlineStr">
        <is>
          <t>Club</t>
        </is>
      </c>
      <c r="F107" s="20" t="inlineStr">
        <is>
          <t>Nut Butter</t>
        </is>
      </c>
      <c r="G107" s="22" t="n">
        <v>2578</v>
      </c>
      <c r="H107" s="23" t="n">
        <v>47.8</v>
      </c>
      <c r="I107" s="23" t="n">
        <v>123228.4</v>
      </c>
      <c r="J107" s="23" t="n">
        <v>98995.2</v>
      </c>
      <c r="K107">
        <f>IF(OR(COUNTIF($A$5:A107,A107)&gt;1,G107&lt;0,C107="",B107&lt;'Work 1'!$C$6,B107&gt;'Work 1'!$C$7,H107&gt;'Work 1'!$C$8*AVERAGEIF($F$5:$F$1014,F107,$H$5:$H$1014)),"Excl",IF(B107&gt;='Work 1'!$C$5,"LTM","Prior"))</f>
        <v/>
      </c>
      <c r="L107">
        <f>I107-J107</f>
        <v/>
      </c>
    </row>
    <row r="108" ht="14.25" customHeight="1" s="54">
      <c r="A108" s="20" t="inlineStr">
        <is>
          <t>BH-40103</t>
        </is>
      </c>
      <c r="B108" s="21" t="n">
        <v>45536</v>
      </c>
      <c r="C108" s="20" t="inlineStr">
        <is>
          <t>C07</t>
        </is>
      </c>
      <c r="D108" s="20" t="inlineStr">
        <is>
          <t>Bramble Hill Online Store</t>
        </is>
      </c>
      <c r="E108" s="20" t="inlineStr">
        <is>
          <t>Online</t>
        </is>
      </c>
      <c r="F108" s="20" t="inlineStr">
        <is>
          <t>Granola</t>
        </is>
      </c>
      <c r="G108" s="22" t="n">
        <v>3422</v>
      </c>
      <c r="H108" s="23" t="n">
        <v>47.5</v>
      </c>
      <c r="I108" s="23" t="n">
        <v>162545</v>
      </c>
      <c r="J108" s="23" t="n">
        <v>89314.2</v>
      </c>
      <c r="K108">
        <f>IF(OR(COUNTIF($A$5:A108,A108)&gt;1,G108&lt;0,C108="",B108&lt;'Work 1'!$C$6,B108&gt;'Work 1'!$C$7,H108&gt;'Work 1'!$C$8*AVERAGEIF($F$5:$F$1014,F108,$H$5:$H$1014)),"Excl",IF(B108&gt;='Work 1'!$C$5,"LTM","Prior"))</f>
        <v/>
      </c>
      <c r="L108">
        <f>I108-J108</f>
        <v/>
      </c>
    </row>
    <row r="109" ht="14.25" customHeight="1" s="54">
      <c r="A109" s="20" t="inlineStr">
        <is>
          <t>BH-40104</t>
        </is>
      </c>
      <c r="B109" s="21" t="n">
        <v>45536</v>
      </c>
      <c r="C109" s="20" t="inlineStr">
        <is>
          <t>C07</t>
        </is>
      </c>
      <c r="D109" s="20" t="inlineStr">
        <is>
          <t>Bramble Hill Online Store</t>
        </is>
      </c>
      <c r="E109" s="20" t="inlineStr">
        <is>
          <t>Online</t>
        </is>
      </c>
      <c r="F109" s="20" t="inlineStr">
        <is>
          <t>Nut Butter</t>
        </is>
      </c>
      <c r="G109" s="22" t="n">
        <v>1897</v>
      </c>
      <c r="H109" s="23" t="n">
        <v>61.9</v>
      </c>
      <c r="I109" s="23" t="n">
        <v>117424.3</v>
      </c>
      <c r="J109" s="23" t="n">
        <v>72844.8</v>
      </c>
      <c r="K109">
        <f>IF(OR(COUNTIF($A$5:A109,A109)&gt;1,G109&lt;0,C109="",B109&lt;'Work 1'!$C$6,B109&gt;'Work 1'!$C$7,H109&gt;'Work 1'!$C$8*AVERAGEIF($F$5:$F$1014,F109,$H$5:$H$1014)),"Excl",IF(B109&gt;='Work 1'!$C$5,"LTM","Prior"))</f>
        <v/>
      </c>
      <c r="L109">
        <f>I109-J109</f>
        <v/>
      </c>
    </row>
    <row r="110" ht="14.25" customHeight="1" s="54">
      <c r="A110" s="20" t="inlineStr">
        <is>
          <t>BH-40105</t>
        </is>
      </c>
      <c r="B110" s="21" t="n">
        <v>45536</v>
      </c>
      <c r="C110" s="20" t="inlineStr">
        <is>
          <t>C07</t>
        </is>
      </c>
      <c r="D110" s="20" t="inlineStr">
        <is>
          <t>Bramble Hill Online Store</t>
        </is>
      </c>
      <c r="E110" s="20" t="inlineStr">
        <is>
          <t>Online</t>
        </is>
      </c>
      <c r="F110" s="20" t="inlineStr">
        <is>
          <t>Snack Bars</t>
        </is>
      </c>
      <c r="G110" s="22" t="n">
        <v>2312</v>
      </c>
      <c r="H110" s="23" t="n">
        <v>37.8</v>
      </c>
      <c r="I110" s="23" t="n">
        <v>87393.60000000001</v>
      </c>
      <c r="J110" s="23" t="n">
        <v>45777.6</v>
      </c>
      <c r="K110">
        <f>IF(OR(COUNTIF($A$5:A110,A110)&gt;1,G110&lt;0,C110="",B110&lt;'Work 1'!$C$6,B110&gt;'Work 1'!$C$7,H110&gt;'Work 1'!$C$8*AVERAGEIF($F$5:$F$1014,F110,$H$5:$H$1014)),"Excl",IF(B110&gt;='Work 1'!$C$5,"LTM","Prior"))</f>
        <v/>
      </c>
      <c r="L110">
        <f>I110-J110</f>
        <v/>
      </c>
    </row>
    <row r="111" ht="14.25" customHeight="1" s="54">
      <c r="A111" s="20" t="inlineStr">
        <is>
          <t>BH-40106</t>
        </is>
      </c>
      <c r="B111" s="21" t="n">
        <v>45536</v>
      </c>
      <c r="C111" s="20" t="inlineStr">
        <is>
          <t>C08</t>
        </is>
      </c>
      <c r="D111" s="20" t="inlineStr">
        <is>
          <t>Online Marketplace</t>
        </is>
      </c>
      <c r="E111" s="20" t="inlineStr">
        <is>
          <t>Online</t>
        </is>
      </c>
      <c r="F111" s="20" t="inlineStr">
        <is>
          <t>Granola</t>
        </is>
      </c>
      <c r="G111" s="22" t="n">
        <v>2997</v>
      </c>
      <c r="H111" s="23" t="n">
        <v>41.8</v>
      </c>
      <c r="I111" s="23" t="n">
        <v>125274.6</v>
      </c>
      <c r="J111" s="23" t="n">
        <v>78221.7</v>
      </c>
      <c r="K111">
        <f>IF(OR(COUNTIF($A$5:A111,A111)&gt;1,G111&lt;0,C111="",B111&lt;'Work 1'!$C$6,B111&gt;'Work 1'!$C$7,H111&gt;'Work 1'!$C$8*AVERAGEIF($F$5:$F$1014,F111,$H$5:$H$1014)),"Excl",IF(B111&gt;='Work 1'!$C$5,"LTM","Prior"))</f>
        <v/>
      </c>
      <c r="L111">
        <f>I111-J111</f>
        <v/>
      </c>
    </row>
    <row r="112" ht="14.25" customHeight="1" s="54">
      <c r="A112" s="20" t="inlineStr">
        <is>
          <t>BH-40107</t>
        </is>
      </c>
      <c r="B112" s="21" t="n">
        <v>45536</v>
      </c>
      <c r="C112" s="20" t="inlineStr">
        <is>
          <t>C08</t>
        </is>
      </c>
      <c r="D112" s="20" t="inlineStr">
        <is>
          <t>Online Marketplace</t>
        </is>
      </c>
      <c r="E112" s="20" t="inlineStr">
        <is>
          <t>Online</t>
        </is>
      </c>
      <c r="F112" s="20" t="inlineStr">
        <is>
          <t>Nut Butter</t>
        </is>
      </c>
      <c r="G112" s="22" t="n">
        <v>1613</v>
      </c>
      <c r="H112" s="23" t="n">
        <v>54.47</v>
      </c>
      <c r="I112" s="23" t="n">
        <v>87860.11</v>
      </c>
      <c r="J112" s="23" t="n">
        <v>61939.2</v>
      </c>
      <c r="K112">
        <f>IF(OR(COUNTIF($A$5:A112,A112)&gt;1,G112&lt;0,C112="",B112&lt;'Work 1'!$C$6,B112&gt;'Work 1'!$C$7,H112&gt;'Work 1'!$C$8*AVERAGEIF($F$5:$F$1014,F112,$H$5:$H$1014)),"Excl",IF(B112&gt;='Work 1'!$C$5,"LTM","Prior"))</f>
        <v/>
      </c>
      <c r="L112">
        <f>I112-J112</f>
        <v/>
      </c>
    </row>
    <row r="113" ht="14.25" customHeight="1" s="54">
      <c r="A113" s="20" t="inlineStr">
        <is>
          <t>BH-40108</t>
        </is>
      </c>
      <c r="B113" s="21" t="n">
        <v>45536</v>
      </c>
      <c r="C113" s="20" t="inlineStr">
        <is>
          <t>C08</t>
        </is>
      </c>
      <c r="D113" s="20" t="inlineStr">
        <is>
          <t>Online Marketplace</t>
        </is>
      </c>
      <c r="E113" s="20" t="inlineStr">
        <is>
          <t>Online</t>
        </is>
      </c>
      <c r="F113" s="20" t="inlineStr">
        <is>
          <t>Snack Bars</t>
        </is>
      </c>
      <c r="G113" s="22" t="n">
        <v>2556</v>
      </c>
      <c r="H113" s="23" t="n">
        <v>33.26</v>
      </c>
      <c r="I113" s="23" t="n">
        <v>85012.56</v>
      </c>
      <c r="J113" s="23" t="n">
        <v>50608.8</v>
      </c>
      <c r="K113">
        <f>IF(OR(COUNTIF($A$5:A113,A113)&gt;1,G113&lt;0,C113="",B113&lt;'Work 1'!$C$6,B113&gt;'Work 1'!$C$7,H113&gt;'Work 1'!$C$8*AVERAGEIF($F$5:$F$1014,F113,$H$5:$H$1014)),"Excl",IF(B113&gt;='Work 1'!$C$5,"LTM","Prior"))</f>
        <v/>
      </c>
      <c r="L113">
        <f>I113-J113</f>
        <v/>
      </c>
    </row>
    <row r="114" ht="14.25" customHeight="1" s="54">
      <c r="A114" s="20" t="inlineStr">
        <is>
          <t>BH-40109</t>
        </is>
      </c>
      <c r="B114" s="21" t="n">
        <v>45536</v>
      </c>
      <c r="C114" s="20" t="inlineStr">
        <is>
          <t>C09</t>
        </is>
      </c>
      <c r="D114" s="20" t="inlineStr">
        <is>
          <t>Maple Ridge Grocers</t>
        </is>
      </c>
      <c r="E114" s="20" t="inlineStr">
        <is>
          <t>Grocery</t>
        </is>
      </c>
      <c r="F114" s="20" t="inlineStr">
        <is>
          <t>Granola</t>
        </is>
      </c>
      <c r="G114" s="22" t="n">
        <v>1635</v>
      </c>
      <c r="H114" s="23" t="n">
        <v>41.8</v>
      </c>
      <c r="I114" s="23" t="n">
        <v>68343</v>
      </c>
      <c r="J114" s="23" t="n">
        <v>42673.5</v>
      </c>
      <c r="K114">
        <f>IF(OR(COUNTIF($A$5:A114,A114)&gt;1,G114&lt;0,C114="",B114&lt;'Work 1'!$C$6,B114&gt;'Work 1'!$C$7,H114&gt;'Work 1'!$C$8*AVERAGEIF($F$5:$F$1014,F114,$H$5:$H$1014)),"Excl",IF(B114&gt;='Work 1'!$C$5,"LTM","Prior"))</f>
        <v/>
      </c>
      <c r="L114">
        <f>I114-J114</f>
        <v/>
      </c>
    </row>
    <row r="115" ht="14.25" customHeight="1" s="54">
      <c r="A115" s="20" t="inlineStr">
        <is>
          <t>BH-40110</t>
        </is>
      </c>
      <c r="B115" s="21" t="n">
        <v>45536</v>
      </c>
      <c r="C115" s="20" t="inlineStr">
        <is>
          <t>C09</t>
        </is>
      </c>
      <c r="D115" s="20" t="inlineStr">
        <is>
          <t>Maple Ridge Grocers</t>
        </is>
      </c>
      <c r="E115" s="20" t="inlineStr">
        <is>
          <t>Grocery</t>
        </is>
      </c>
      <c r="F115" s="20" t="inlineStr">
        <is>
          <t>Snack Bars</t>
        </is>
      </c>
      <c r="G115" s="22" t="n">
        <v>1257</v>
      </c>
      <c r="H115" s="23" t="n">
        <v>32.4</v>
      </c>
      <c r="I115" s="23" t="n">
        <v>40726.8</v>
      </c>
      <c r="J115" s="23" t="n">
        <v>24888.6</v>
      </c>
      <c r="K115">
        <f>IF(OR(COUNTIF($A$5:A115,A115)&gt;1,G115&lt;0,C115="",B115&lt;'Work 1'!$C$6,B115&gt;'Work 1'!$C$7,H115&gt;'Work 1'!$C$8*AVERAGEIF($F$5:$F$1014,F115,$H$5:$H$1014)),"Excl",IF(B115&gt;='Work 1'!$C$5,"LTM","Prior"))</f>
        <v/>
      </c>
      <c r="L115">
        <f>I115-J115</f>
        <v/>
      </c>
    </row>
    <row r="116" ht="14.25" customHeight="1" s="54">
      <c r="A116" s="20" t="inlineStr">
        <is>
          <t>BH-40111</t>
        </is>
      </c>
      <c r="B116" s="21" t="n">
        <v>45536</v>
      </c>
      <c r="C116" s="20" t="inlineStr">
        <is>
          <t>C10</t>
        </is>
      </c>
      <c r="D116" s="20" t="inlineStr">
        <is>
          <t>Lakeshore Foods</t>
        </is>
      </c>
      <c r="E116" s="20" t="inlineStr">
        <is>
          <t>Grocery</t>
        </is>
      </c>
      <c r="F116" s="20" t="inlineStr">
        <is>
          <t>Granola</t>
        </is>
      </c>
      <c r="G116" s="22" t="n">
        <v>1407</v>
      </c>
      <c r="H116" s="23" t="n">
        <v>41.8</v>
      </c>
      <c r="I116" s="23" t="n">
        <v>58812.6</v>
      </c>
      <c r="J116" s="23" t="n">
        <v>36722.7</v>
      </c>
      <c r="K116">
        <f>IF(OR(COUNTIF($A$5:A116,A116)&gt;1,G116&lt;0,C116="",B116&lt;'Work 1'!$C$6,B116&gt;'Work 1'!$C$7,H116&gt;'Work 1'!$C$8*AVERAGEIF($F$5:$F$1014,F116,$H$5:$H$1014)),"Excl",IF(B116&gt;='Work 1'!$C$5,"LTM","Prior"))</f>
        <v/>
      </c>
      <c r="L116">
        <f>I116-J116</f>
        <v/>
      </c>
    </row>
    <row r="117" ht="14.25" customHeight="1" s="54">
      <c r="A117" s="20" t="inlineStr">
        <is>
          <t>BH-49477</t>
        </is>
      </c>
      <c r="B117" s="21" t="n">
        <v>45536</v>
      </c>
      <c r="C117" s="20" t="inlineStr">
        <is>
          <t>C10</t>
        </is>
      </c>
      <c r="D117" s="20" t="inlineStr">
        <is>
          <t>Lakeshore Foods</t>
        </is>
      </c>
      <c r="E117" s="20" t="inlineStr">
        <is>
          <t>Grocery</t>
        </is>
      </c>
      <c r="F117" s="20" t="inlineStr">
        <is>
          <t>Granola</t>
        </is>
      </c>
      <c r="G117" s="22" t="n">
        <v>1480</v>
      </c>
      <c r="H117" s="23" t="n">
        <v>418</v>
      </c>
      <c r="I117" s="23" t="n">
        <v>618640</v>
      </c>
      <c r="J117" s="23" t="n">
        <v>38628</v>
      </c>
      <c r="K117">
        <f>IF(OR(COUNTIF($A$5:A117,A117)&gt;1,G117&lt;0,C117="",B117&lt;'Work 1'!$C$6,B117&gt;'Work 1'!$C$7,H117&gt;'Work 1'!$C$8*AVERAGEIF($F$5:$F$1014,F117,$H$5:$H$1014)),"Excl",IF(B117&gt;='Work 1'!$C$5,"LTM","Prior"))</f>
        <v/>
      </c>
      <c r="L117">
        <f>I117-J117</f>
        <v/>
      </c>
    </row>
    <row r="118" ht="14.25" customHeight="1" s="54">
      <c r="A118" s="20" t="inlineStr">
        <is>
          <t>BH-40112</t>
        </is>
      </c>
      <c r="B118" s="21" t="n">
        <v>45536</v>
      </c>
      <c r="C118" s="20" t="inlineStr">
        <is>
          <t>C10</t>
        </is>
      </c>
      <c r="D118" s="20" t="inlineStr">
        <is>
          <t>Lakeshore Foods</t>
        </is>
      </c>
      <c r="E118" s="20" t="inlineStr">
        <is>
          <t>Grocery</t>
        </is>
      </c>
      <c r="F118" s="20" t="inlineStr">
        <is>
          <t>Nut Butter</t>
        </is>
      </c>
      <c r="G118" s="22" t="n">
        <v>588</v>
      </c>
      <c r="H118" s="23" t="n">
        <v>55.6</v>
      </c>
      <c r="I118" s="23" t="n">
        <v>32692.8</v>
      </c>
      <c r="J118" s="23" t="n">
        <v>22579.2</v>
      </c>
      <c r="K118">
        <f>IF(OR(COUNTIF($A$5:A118,A118)&gt;1,G118&lt;0,C118="",B118&lt;'Work 1'!$C$6,B118&gt;'Work 1'!$C$7,H118&gt;'Work 1'!$C$8*AVERAGEIF($F$5:$F$1014,F118,$H$5:$H$1014)),"Excl",IF(B118&gt;='Work 1'!$C$5,"LTM","Prior"))</f>
        <v/>
      </c>
      <c r="L118">
        <f>I118-J118</f>
        <v/>
      </c>
    </row>
    <row r="119" ht="14.25" customHeight="1" s="54">
      <c r="A119" s="20" t="inlineStr">
        <is>
          <t>BH-40113</t>
        </is>
      </c>
      <c r="B119" s="21" t="n">
        <v>45536</v>
      </c>
      <c r="C119" s="20" t="inlineStr">
        <is>
          <t>C11</t>
        </is>
      </c>
      <c r="D119" s="20" t="inlineStr">
        <is>
          <t>Copper Valley Market</t>
        </is>
      </c>
      <c r="E119" s="20" t="inlineStr">
        <is>
          <t>Grocery</t>
        </is>
      </c>
      <c r="F119" s="20" t="inlineStr">
        <is>
          <t>Granola</t>
        </is>
      </c>
      <c r="G119" s="22" t="n">
        <v>1155</v>
      </c>
      <c r="H119" s="23" t="n">
        <v>41.8</v>
      </c>
      <c r="I119" s="23" t="n">
        <v>48279</v>
      </c>
      <c r="J119" s="23" t="n">
        <v>30145.5</v>
      </c>
      <c r="K119">
        <f>IF(OR(COUNTIF($A$5:A119,A119)&gt;1,G119&lt;0,C119="",B119&lt;'Work 1'!$C$6,B119&gt;'Work 1'!$C$7,H119&gt;'Work 1'!$C$8*AVERAGEIF($F$5:$F$1014,F119,$H$5:$H$1014)),"Excl",IF(B119&gt;='Work 1'!$C$5,"LTM","Prior"))</f>
        <v/>
      </c>
      <c r="L119">
        <f>I119-J119</f>
        <v/>
      </c>
    </row>
    <row r="120" ht="14.25" customHeight="1" s="54">
      <c r="A120" s="20" t="inlineStr">
        <is>
          <t>BH-40114</t>
        </is>
      </c>
      <c r="B120" s="21" t="n">
        <v>45536</v>
      </c>
      <c r="C120" s="20" t="inlineStr">
        <is>
          <t>C11</t>
        </is>
      </c>
      <c r="D120" s="20" t="inlineStr">
        <is>
          <t>Copper Valley Market</t>
        </is>
      </c>
      <c r="E120" s="20" t="inlineStr">
        <is>
          <t>Grocery</t>
        </is>
      </c>
      <c r="F120" s="20" t="inlineStr">
        <is>
          <t>Snack Bars</t>
        </is>
      </c>
      <c r="G120" s="22" t="n">
        <v>1313</v>
      </c>
      <c r="H120" s="23" t="n">
        <v>32.4</v>
      </c>
      <c r="I120" s="23" t="n">
        <v>42541.2</v>
      </c>
      <c r="J120" s="23" t="n">
        <v>25997.4</v>
      </c>
      <c r="K120">
        <f>IF(OR(COUNTIF($A$5:A120,A120)&gt;1,G120&lt;0,C120="",B120&lt;'Work 1'!$C$6,B120&gt;'Work 1'!$C$7,H120&gt;'Work 1'!$C$8*AVERAGEIF($F$5:$F$1014,F120,$H$5:$H$1014)),"Excl",IF(B120&gt;='Work 1'!$C$5,"LTM","Prior"))</f>
        <v/>
      </c>
      <c r="L120">
        <f>I120-J120</f>
        <v/>
      </c>
    </row>
    <row r="121" ht="14.25" customHeight="1" s="54">
      <c r="A121" s="20" t="inlineStr">
        <is>
          <t>BH-40115</t>
        </is>
      </c>
      <c r="B121" s="21" t="n">
        <v>45536</v>
      </c>
      <c r="C121" s="20" t="inlineStr">
        <is>
          <t>C12</t>
        </is>
      </c>
      <c r="D121" s="20" t="inlineStr">
        <is>
          <t>Riverbend Grocery</t>
        </is>
      </c>
      <c r="E121" s="20" t="inlineStr">
        <is>
          <t>Grocery</t>
        </is>
      </c>
      <c r="F121" s="20" t="inlineStr">
        <is>
          <t>Granola</t>
        </is>
      </c>
      <c r="G121" s="22" t="n">
        <v>1817</v>
      </c>
      <c r="H121" s="23" t="n">
        <v>41.8</v>
      </c>
      <c r="I121" s="23" t="n">
        <v>75950.60000000001</v>
      </c>
      <c r="J121" s="23" t="n">
        <v>47423.7</v>
      </c>
      <c r="K121">
        <f>IF(OR(COUNTIF($A$5:A121,A121)&gt;1,G121&lt;0,C121="",B121&lt;'Work 1'!$C$6,B121&gt;'Work 1'!$C$7,H121&gt;'Work 1'!$C$8*AVERAGEIF($F$5:$F$1014,F121,$H$5:$H$1014)),"Excl",IF(B121&gt;='Work 1'!$C$5,"LTM","Prior"))</f>
        <v/>
      </c>
      <c r="L121">
        <f>I121-J121</f>
        <v/>
      </c>
    </row>
    <row r="122" ht="14.25" customHeight="1" s="54">
      <c r="A122" s="20" t="inlineStr">
        <is>
          <t>BH-40116</t>
        </is>
      </c>
      <c r="B122" s="21" t="n">
        <v>45536</v>
      </c>
      <c r="C122" s="20" t="inlineStr">
        <is>
          <t>C12</t>
        </is>
      </c>
      <c r="D122" s="20" t="inlineStr">
        <is>
          <t>Riverbend Grocery</t>
        </is>
      </c>
      <c r="E122" s="20" t="inlineStr">
        <is>
          <t>Grocery</t>
        </is>
      </c>
      <c r="F122" s="20" t="inlineStr">
        <is>
          <t>Nut Butter</t>
        </is>
      </c>
      <c r="G122" s="22" t="n">
        <v>768</v>
      </c>
      <c r="H122" s="23" t="n">
        <v>55.6</v>
      </c>
      <c r="I122" s="23" t="n">
        <v>42700.8</v>
      </c>
      <c r="J122" s="23" t="n">
        <v>29491.2</v>
      </c>
      <c r="K122">
        <f>IF(OR(COUNTIF($A$5:A122,A122)&gt;1,G122&lt;0,C122="",B122&lt;'Work 1'!$C$6,B122&gt;'Work 1'!$C$7,H122&gt;'Work 1'!$C$8*AVERAGEIF($F$5:$F$1014,F122,$H$5:$H$1014)),"Excl",IF(B122&gt;='Work 1'!$C$5,"LTM","Prior"))</f>
        <v/>
      </c>
      <c r="L122">
        <f>I122-J122</f>
        <v/>
      </c>
    </row>
    <row r="123" ht="14.25" customHeight="1" s="54">
      <c r="A123" s="20" t="inlineStr">
        <is>
          <t>BH-40117</t>
        </is>
      </c>
      <c r="B123" s="21" t="n">
        <v>45536</v>
      </c>
      <c r="C123" s="20" t="inlineStr">
        <is>
          <t>C13</t>
        </is>
      </c>
      <c r="D123" s="20" t="inlineStr">
        <is>
          <t>Sunfield Markets</t>
        </is>
      </c>
      <c r="E123" s="20" t="inlineStr">
        <is>
          <t>Grocery</t>
        </is>
      </c>
      <c r="F123" s="20" t="inlineStr">
        <is>
          <t>Granola</t>
        </is>
      </c>
      <c r="G123" s="22" t="n">
        <v>1025</v>
      </c>
      <c r="H123" s="23" t="n">
        <v>41.8</v>
      </c>
      <c r="I123" s="23" t="n">
        <v>42845</v>
      </c>
      <c r="J123" s="23" t="n">
        <v>26752.5</v>
      </c>
      <c r="K123">
        <f>IF(OR(COUNTIF($A$5:A123,A123)&gt;1,G123&lt;0,C123="",B123&lt;'Work 1'!$C$6,B123&gt;'Work 1'!$C$7,H123&gt;'Work 1'!$C$8*AVERAGEIF($F$5:$F$1014,F123,$H$5:$H$1014)),"Excl",IF(B123&gt;='Work 1'!$C$5,"LTM","Prior"))</f>
        <v/>
      </c>
      <c r="L123">
        <f>I123-J123</f>
        <v/>
      </c>
    </row>
    <row r="124" ht="14.25" customHeight="1" s="54">
      <c r="A124" s="20" t="inlineStr">
        <is>
          <t>BH-40118</t>
        </is>
      </c>
      <c r="B124" s="21" t="n">
        <v>45536</v>
      </c>
      <c r="C124" s="20" t="inlineStr">
        <is>
          <t>C13</t>
        </is>
      </c>
      <c r="D124" s="20" t="inlineStr">
        <is>
          <t>Sunfield Markets</t>
        </is>
      </c>
      <c r="E124" s="20" t="inlineStr">
        <is>
          <t>Grocery</t>
        </is>
      </c>
      <c r="F124" s="20" t="inlineStr">
        <is>
          <t>Snack Bars</t>
        </is>
      </c>
      <c r="G124" s="22" t="n">
        <v>985</v>
      </c>
      <c r="H124" s="23" t="n">
        <v>32.4</v>
      </c>
      <c r="I124" s="23" t="n">
        <v>31914</v>
      </c>
      <c r="J124" s="23" t="n">
        <v>19503</v>
      </c>
      <c r="K124">
        <f>IF(OR(COUNTIF($A$5:A124,A124)&gt;1,G124&lt;0,C124="",B124&lt;'Work 1'!$C$6,B124&gt;'Work 1'!$C$7,H124&gt;'Work 1'!$C$8*AVERAGEIF($F$5:$F$1014,F124,$H$5:$H$1014)),"Excl",IF(B124&gt;='Work 1'!$C$5,"LTM","Prior"))</f>
        <v/>
      </c>
      <c r="L124">
        <f>I124-J124</f>
        <v/>
      </c>
    </row>
    <row r="125" ht="14.25" customHeight="1" s="54">
      <c r="A125" s="20" t="inlineStr">
        <is>
          <t>BH-40119</t>
        </is>
      </c>
      <c r="B125" s="21" t="n">
        <v>45536</v>
      </c>
      <c r="C125" s="20" t="inlineStr">
        <is>
          <t>C14</t>
        </is>
      </c>
      <c r="D125" s="20" t="inlineStr">
        <is>
          <t>Oak Hollow Foods</t>
        </is>
      </c>
      <c r="E125" s="20" t="inlineStr">
        <is>
          <t>Grocery</t>
        </is>
      </c>
      <c r="F125" s="20" t="inlineStr">
        <is>
          <t>Granola</t>
        </is>
      </c>
      <c r="G125" s="22" t="n">
        <v>1220</v>
      </c>
      <c r="H125" s="23" t="n">
        <v>41.8</v>
      </c>
      <c r="I125" s="23" t="n">
        <v>50996</v>
      </c>
      <c r="J125" s="23" t="n">
        <v>31842</v>
      </c>
      <c r="K125">
        <f>IF(OR(COUNTIF($A$5:A125,A125)&gt;1,G125&lt;0,C125="",B125&lt;'Work 1'!$C$6,B125&gt;'Work 1'!$C$7,H125&gt;'Work 1'!$C$8*AVERAGEIF($F$5:$F$1014,F125,$H$5:$H$1014)),"Excl",IF(B125&gt;='Work 1'!$C$5,"LTM","Prior"))</f>
        <v/>
      </c>
      <c r="L125">
        <f>I125-J125</f>
        <v/>
      </c>
    </row>
    <row r="126" ht="14.25" customHeight="1" s="54">
      <c r="A126" s="20" t="inlineStr">
        <is>
          <t>BH-40120</t>
        </is>
      </c>
      <c r="B126" s="21" t="n">
        <v>45536</v>
      </c>
      <c r="C126" s="20" t="inlineStr">
        <is>
          <t>C14</t>
        </is>
      </c>
      <c r="D126" s="20" t="inlineStr">
        <is>
          <t>Oak Hollow Foods</t>
        </is>
      </c>
      <c r="E126" s="20" t="inlineStr">
        <is>
          <t>Grocery</t>
        </is>
      </c>
      <c r="F126" s="20" t="inlineStr">
        <is>
          <t>Nut Butter</t>
        </is>
      </c>
      <c r="G126" s="22" t="n">
        <v>470</v>
      </c>
      <c r="H126" s="23" t="n">
        <v>55.6</v>
      </c>
      <c r="I126" s="23" t="n">
        <v>26132</v>
      </c>
      <c r="J126" s="23" t="n">
        <v>18048</v>
      </c>
      <c r="K126">
        <f>IF(OR(COUNTIF($A$5:A126,A126)&gt;1,G126&lt;0,C126="",B126&lt;'Work 1'!$C$6,B126&gt;'Work 1'!$C$7,H126&gt;'Work 1'!$C$8*AVERAGEIF($F$5:$F$1014,F126,$H$5:$H$1014)),"Excl",IF(B126&gt;='Work 1'!$C$5,"LTM","Prior"))</f>
        <v/>
      </c>
      <c r="L126">
        <f>I126-J126</f>
        <v/>
      </c>
    </row>
    <row r="127" ht="14.25" customHeight="1" s="54">
      <c r="A127" s="20" t="inlineStr">
        <is>
          <t>BH-40121</t>
        </is>
      </c>
      <c r="B127" s="21" t="n">
        <v>45536</v>
      </c>
      <c r="C127" s="20" t="inlineStr">
        <is>
          <t>C14</t>
        </is>
      </c>
      <c r="D127" s="20" t="inlineStr">
        <is>
          <t>Oak Hollow Foods</t>
        </is>
      </c>
      <c r="E127" s="20" t="inlineStr">
        <is>
          <t>Grocery</t>
        </is>
      </c>
      <c r="F127" s="20" t="inlineStr">
        <is>
          <t>Snack Bars</t>
        </is>
      </c>
      <c r="G127" s="22" t="n">
        <v>781</v>
      </c>
      <c r="H127" s="23" t="n">
        <v>32.4</v>
      </c>
      <c r="I127" s="23" t="n">
        <v>25304.4</v>
      </c>
      <c r="J127" s="23" t="n">
        <v>15463.8</v>
      </c>
      <c r="K127">
        <f>IF(OR(COUNTIF($A$5:A127,A127)&gt;1,G127&lt;0,C127="",B127&lt;'Work 1'!$C$6,B127&gt;'Work 1'!$C$7,H127&gt;'Work 1'!$C$8*AVERAGEIF($F$5:$F$1014,F127,$H$5:$H$1014)),"Excl",IF(B127&gt;='Work 1'!$C$5,"LTM","Prior"))</f>
        <v/>
      </c>
      <c r="L127">
        <f>I127-J127</f>
        <v/>
      </c>
    </row>
    <row r="128" ht="14.25" customHeight="1" s="54">
      <c r="A128" s="20" t="inlineStr">
        <is>
          <t>BH-40122</t>
        </is>
      </c>
      <c r="B128" s="21" t="n">
        <v>45536</v>
      </c>
      <c r="C128" s="20" t="inlineStr">
        <is>
          <t>C15</t>
        </is>
      </c>
      <c r="D128" s="20" t="inlineStr">
        <is>
          <t>Prairie Fresh</t>
        </is>
      </c>
      <c r="E128" s="20" t="inlineStr">
        <is>
          <t>Grocery</t>
        </is>
      </c>
      <c r="F128" s="20" t="inlineStr">
        <is>
          <t>Granola</t>
        </is>
      </c>
      <c r="G128" s="22" t="n">
        <v>1370</v>
      </c>
      <c r="H128" s="23" t="n">
        <v>41.8</v>
      </c>
      <c r="I128" s="23" t="n">
        <v>57266</v>
      </c>
      <c r="J128" s="23" t="n">
        <v>35757</v>
      </c>
      <c r="K128">
        <f>IF(OR(COUNTIF($A$5:A128,A128)&gt;1,G128&lt;0,C128="",B128&lt;'Work 1'!$C$6,B128&gt;'Work 1'!$C$7,H128&gt;'Work 1'!$C$8*AVERAGEIF($F$5:$F$1014,F128,$H$5:$H$1014)),"Excl",IF(B128&gt;='Work 1'!$C$5,"LTM","Prior"))</f>
        <v/>
      </c>
      <c r="L128">
        <f>I128-J128</f>
        <v/>
      </c>
    </row>
    <row r="129" ht="14.25" customHeight="1" s="54">
      <c r="A129" s="20" t="inlineStr">
        <is>
          <t>BH-40123</t>
        </is>
      </c>
      <c r="B129" s="21" t="n">
        <v>45536</v>
      </c>
      <c r="C129" s="20" t="inlineStr">
        <is>
          <t>C15</t>
        </is>
      </c>
      <c r="D129" s="20" t="inlineStr">
        <is>
          <t>Prairie Fresh</t>
        </is>
      </c>
      <c r="E129" s="20" t="inlineStr">
        <is>
          <t>Grocery</t>
        </is>
      </c>
      <c r="F129" s="20" t="inlineStr">
        <is>
          <t>Snack Bars</t>
        </is>
      </c>
      <c r="G129" s="22" t="n">
        <v>1003</v>
      </c>
      <c r="H129" s="23" t="n">
        <v>32.4</v>
      </c>
      <c r="I129" s="23" t="n">
        <v>32497.2</v>
      </c>
      <c r="J129" s="23" t="n">
        <v>19859.4</v>
      </c>
      <c r="K129">
        <f>IF(OR(COUNTIF($A$5:A129,A129)&gt;1,G129&lt;0,C129="",B129&lt;'Work 1'!$C$6,B129&gt;'Work 1'!$C$7,H129&gt;'Work 1'!$C$8*AVERAGEIF($F$5:$F$1014,F129,$H$5:$H$1014)),"Excl",IF(B129&gt;='Work 1'!$C$5,"LTM","Prior"))</f>
        <v/>
      </c>
      <c r="L129">
        <f>I129-J129</f>
        <v/>
      </c>
    </row>
    <row r="130" ht="14.25" customHeight="1" s="54">
      <c r="A130" s="20" t="inlineStr">
        <is>
          <t>BH-40124</t>
        </is>
      </c>
      <c r="B130" s="21" t="n">
        <v>45536</v>
      </c>
      <c r="C130" s="20" t="inlineStr">
        <is>
          <t>C16</t>
        </is>
      </c>
      <c r="D130" s="20" t="inlineStr">
        <is>
          <t>Bay Street Market</t>
        </is>
      </c>
      <c r="E130" s="20" t="inlineStr">
        <is>
          <t>Grocery</t>
        </is>
      </c>
      <c r="F130" s="20" t="inlineStr">
        <is>
          <t>Granola</t>
        </is>
      </c>
      <c r="G130" s="22" t="n">
        <v>972</v>
      </c>
      <c r="H130" s="23" t="n">
        <v>41.8</v>
      </c>
      <c r="I130" s="23" t="n">
        <v>40629.6</v>
      </c>
      <c r="J130" s="23" t="n">
        <v>25369.2</v>
      </c>
      <c r="K130">
        <f>IF(OR(COUNTIF($A$5:A130,A130)&gt;1,G130&lt;0,C130="",B130&lt;'Work 1'!$C$6,B130&gt;'Work 1'!$C$7,H130&gt;'Work 1'!$C$8*AVERAGEIF($F$5:$F$1014,F130,$H$5:$H$1014)),"Excl",IF(B130&gt;='Work 1'!$C$5,"LTM","Prior"))</f>
        <v/>
      </c>
      <c r="L130">
        <f>I130-J130</f>
        <v/>
      </c>
    </row>
    <row r="131" ht="14.25" customHeight="1" s="54">
      <c r="A131" s="20" t="inlineStr">
        <is>
          <t>BH-40125</t>
        </is>
      </c>
      <c r="B131" s="21" t="n">
        <v>45536</v>
      </c>
      <c r="C131" s="20" t="inlineStr">
        <is>
          <t>C16</t>
        </is>
      </c>
      <c r="D131" s="20" t="inlineStr">
        <is>
          <t>Bay Street Market</t>
        </is>
      </c>
      <c r="E131" s="20" t="inlineStr">
        <is>
          <t>Grocery</t>
        </is>
      </c>
      <c r="F131" s="20" t="inlineStr">
        <is>
          <t>Nut Butter</t>
        </is>
      </c>
      <c r="G131" s="22" t="n">
        <v>605</v>
      </c>
      <c r="H131" s="23" t="n">
        <v>55.6</v>
      </c>
      <c r="I131" s="23" t="n">
        <v>33638</v>
      </c>
      <c r="J131" s="23" t="n">
        <v>23232</v>
      </c>
      <c r="K131">
        <f>IF(OR(COUNTIF($A$5:A131,A131)&gt;1,G131&lt;0,C131="",B131&lt;'Work 1'!$C$6,B131&gt;'Work 1'!$C$7,H131&gt;'Work 1'!$C$8*AVERAGEIF($F$5:$F$1014,F131,$H$5:$H$1014)),"Excl",IF(B131&gt;='Work 1'!$C$5,"LTM","Prior"))</f>
        <v/>
      </c>
      <c r="L131">
        <f>I131-J131</f>
        <v/>
      </c>
    </row>
    <row r="132" ht="14.25" customHeight="1" s="54">
      <c r="A132" s="20" t="inlineStr">
        <is>
          <t>BH-40126</t>
        </is>
      </c>
      <c r="B132" s="21" t="n">
        <v>45536</v>
      </c>
      <c r="C132" s="20" t="inlineStr">
        <is>
          <t>C17</t>
        </is>
      </c>
      <c r="D132" s="20" t="inlineStr">
        <is>
          <t>Eastgate Grocers</t>
        </is>
      </c>
      <c r="E132" s="20" t="inlineStr">
        <is>
          <t>Grocery</t>
        </is>
      </c>
      <c r="F132" s="20" t="inlineStr">
        <is>
          <t>Granola</t>
        </is>
      </c>
      <c r="G132" s="22" t="n">
        <v>1379</v>
      </c>
      <c r="H132" s="23" t="n">
        <v>41.8</v>
      </c>
      <c r="I132" s="23" t="n">
        <v>57642.2</v>
      </c>
      <c r="J132" s="23" t="n">
        <v>35991.9</v>
      </c>
      <c r="K132">
        <f>IF(OR(COUNTIF($A$5:A132,A132)&gt;1,G132&lt;0,C132="",B132&lt;'Work 1'!$C$6,B132&gt;'Work 1'!$C$7,H132&gt;'Work 1'!$C$8*AVERAGEIF($F$5:$F$1014,F132,$H$5:$H$1014)),"Excl",IF(B132&gt;='Work 1'!$C$5,"LTM","Prior"))</f>
        <v/>
      </c>
      <c r="L132">
        <f>I132-J132</f>
        <v/>
      </c>
    </row>
    <row r="133" ht="14.25" customHeight="1" s="54">
      <c r="A133" s="20" t="inlineStr">
        <is>
          <t>BH-40127</t>
        </is>
      </c>
      <c r="B133" s="21" t="n">
        <v>45536</v>
      </c>
      <c r="C133" s="20" t="inlineStr">
        <is>
          <t>C17</t>
        </is>
      </c>
      <c r="D133" s="20" t="inlineStr">
        <is>
          <t>Eastgate Grocers</t>
        </is>
      </c>
      <c r="E133" s="20" t="inlineStr">
        <is>
          <t>Grocery</t>
        </is>
      </c>
      <c r="F133" s="20" t="inlineStr">
        <is>
          <t>Snack Bars</t>
        </is>
      </c>
      <c r="G133" s="22" t="n">
        <v>1038</v>
      </c>
      <c r="H133" s="23" t="n">
        <v>32.4</v>
      </c>
      <c r="I133" s="23" t="n">
        <v>33631.2</v>
      </c>
      <c r="J133" s="23" t="n">
        <v>20552.4</v>
      </c>
      <c r="K133">
        <f>IF(OR(COUNTIF($A$5:A133,A133)&gt;1,G133&lt;0,C133="",B133&lt;'Work 1'!$C$6,B133&gt;'Work 1'!$C$7,H133&gt;'Work 1'!$C$8*AVERAGEIF($F$5:$F$1014,F133,$H$5:$H$1014)),"Excl",IF(B133&gt;='Work 1'!$C$5,"LTM","Prior"))</f>
        <v/>
      </c>
      <c r="L133">
        <f>I133-J133</f>
        <v/>
      </c>
    </row>
    <row r="134" ht="14.25" customHeight="1" s="54">
      <c r="A134" s="20" t="inlineStr">
        <is>
          <t>BH-40128</t>
        </is>
      </c>
      <c r="B134" s="21" t="n">
        <v>45536</v>
      </c>
      <c r="C134" s="20" t="inlineStr">
        <is>
          <t>C18</t>
        </is>
      </c>
      <c r="D134" s="20" t="inlineStr">
        <is>
          <t>Hillcrest Food Co.</t>
        </is>
      </c>
      <c r="E134" s="20" t="inlineStr">
        <is>
          <t>Grocery</t>
        </is>
      </c>
      <c r="F134" s="20" t="inlineStr">
        <is>
          <t>Granola</t>
        </is>
      </c>
      <c r="G134" s="22" t="n">
        <v>1013</v>
      </c>
      <c r="H134" s="23" t="n">
        <v>41.8</v>
      </c>
      <c r="I134" s="23" t="n">
        <v>42343.4</v>
      </c>
      <c r="J134" s="23" t="n">
        <v>26439.3</v>
      </c>
      <c r="K134">
        <f>IF(OR(COUNTIF($A$5:A134,A134)&gt;1,G134&lt;0,C134="",B134&lt;'Work 1'!$C$6,B134&gt;'Work 1'!$C$7,H134&gt;'Work 1'!$C$8*AVERAGEIF($F$5:$F$1014,F134,$H$5:$H$1014)),"Excl",IF(B134&gt;='Work 1'!$C$5,"LTM","Prior"))</f>
        <v/>
      </c>
      <c r="L134">
        <f>I134-J134</f>
        <v/>
      </c>
    </row>
    <row r="135" ht="14.25" customHeight="1" s="54">
      <c r="A135" s="20" t="inlineStr">
        <is>
          <t>BH-40129</t>
        </is>
      </c>
      <c r="B135" s="21" t="n">
        <v>45536</v>
      </c>
      <c r="C135" s="20" t="inlineStr">
        <is>
          <t>C18</t>
        </is>
      </c>
      <c r="D135" s="20" t="inlineStr">
        <is>
          <t>Hillcrest Food Co.</t>
        </is>
      </c>
      <c r="E135" s="20" t="inlineStr">
        <is>
          <t>Grocery</t>
        </is>
      </c>
      <c r="F135" s="20" t="inlineStr">
        <is>
          <t>Nut Butter</t>
        </is>
      </c>
      <c r="G135" s="22" t="n">
        <v>454</v>
      </c>
      <c r="H135" s="23" t="n">
        <v>55.6</v>
      </c>
      <c r="I135" s="23" t="n">
        <v>25242.4</v>
      </c>
      <c r="J135" s="23" t="n">
        <v>17433.6</v>
      </c>
      <c r="K135">
        <f>IF(OR(COUNTIF($A$5:A135,A135)&gt;1,G135&lt;0,C135="",B135&lt;'Work 1'!$C$6,B135&gt;'Work 1'!$C$7,H135&gt;'Work 1'!$C$8*AVERAGEIF($F$5:$F$1014,F135,$H$5:$H$1014)),"Excl",IF(B135&gt;='Work 1'!$C$5,"LTM","Prior"))</f>
        <v/>
      </c>
      <c r="L135">
        <f>I135-J135</f>
        <v/>
      </c>
    </row>
    <row r="136" ht="14.25" customHeight="1" s="54">
      <c r="A136" s="20" t="inlineStr">
        <is>
          <t>BH-40130</t>
        </is>
      </c>
      <c r="B136" s="21" t="n">
        <v>45566</v>
      </c>
      <c r="C136" s="20" t="inlineStr">
        <is>
          <t>C01</t>
        </is>
      </c>
      <c r="D136" s="20" t="inlineStr">
        <is>
          <t>Northfield Markets</t>
        </is>
      </c>
      <c r="E136" s="20" t="inlineStr">
        <is>
          <t>Grocery</t>
        </is>
      </c>
      <c r="F136" s="20" t="inlineStr">
        <is>
          <t>Granola</t>
        </is>
      </c>
      <c r="G136" s="22" t="n">
        <v>13964</v>
      </c>
      <c r="H136" s="23" t="n">
        <v>39.29</v>
      </c>
      <c r="I136" s="23" t="n">
        <v>548645.5600000001</v>
      </c>
      <c r="J136" s="23" t="n">
        <v>364460.4</v>
      </c>
      <c r="K136">
        <f>IF(OR(COUNTIF($A$5:A136,A136)&gt;1,G136&lt;0,C136="",B136&lt;'Work 1'!$C$6,B136&gt;'Work 1'!$C$7,H136&gt;'Work 1'!$C$8*AVERAGEIF($F$5:$F$1014,F136,$H$5:$H$1014)),"Excl",IF(B136&gt;='Work 1'!$C$5,"LTM","Prior"))</f>
        <v/>
      </c>
      <c r="L136">
        <f>I136-J136</f>
        <v/>
      </c>
    </row>
    <row r="137" ht="14.25" customHeight="1" s="54">
      <c r="A137" s="20" t="inlineStr">
        <is>
          <t>BH-40131</t>
        </is>
      </c>
      <c r="B137" s="21" t="n">
        <v>45566</v>
      </c>
      <c r="C137" s="20" t="inlineStr">
        <is>
          <t>C01</t>
        </is>
      </c>
      <c r="D137" s="20" t="inlineStr">
        <is>
          <t>Northfield Markets</t>
        </is>
      </c>
      <c r="E137" s="20" t="inlineStr">
        <is>
          <t>Grocery</t>
        </is>
      </c>
      <c r="F137" s="20" t="inlineStr">
        <is>
          <t>Nut Butter</t>
        </is>
      </c>
      <c r="G137" s="22" t="n">
        <v>6958</v>
      </c>
      <c r="H137" s="23" t="n">
        <v>52.26</v>
      </c>
      <c r="I137" s="23" t="n">
        <v>363625.08</v>
      </c>
      <c r="J137" s="23" t="n">
        <v>267187.2</v>
      </c>
      <c r="K137">
        <f>IF(OR(COUNTIF($A$5:A137,A137)&gt;1,G137&lt;0,C137="",B137&lt;'Work 1'!$C$6,B137&gt;'Work 1'!$C$7,H137&gt;'Work 1'!$C$8*AVERAGEIF($F$5:$F$1014,F137,$H$5:$H$1014)),"Excl",IF(B137&gt;='Work 1'!$C$5,"LTM","Prior"))</f>
        <v/>
      </c>
      <c r="L137">
        <f>I137-J137</f>
        <v/>
      </c>
    </row>
    <row r="138" ht="14.25" customHeight="1" s="54">
      <c r="A138" s="20" t="inlineStr">
        <is>
          <t>BH-40132</t>
        </is>
      </c>
      <c r="B138" s="21" t="n">
        <v>45566</v>
      </c>
      <c r="C138" s="20" t="inlineStr">
        <is>
          <t>C01</t>
        </is>
      </c>
      <c r="D138" s="20" t="inlineStr">
        <is>
          <t>Northfield Markets</t>
        </is>
      </c>
      <c r="E138" s="20" t="inlineStr">
        <is>
          <t>Grocery</t>
        </is>
      </c>
      <c r="F138" s="20" t="inlineStr">
        <is>
          <t>Snack Bars</t>
        </is>
      </c>
      <c r="G138" s="22" t="n">
        <v>9736</v>
      </c>
      <c r="H138" s="23" t="n">
        <v>30.46</v>
      </c>
      <c r="I138" s="23" t="n">
        <v>296558.56</v>
      </c>
      <c r="J138" s="23" t="n">
        <v>192772.8</v>
      </c>
      <c r="K138">
        <f>IF(OR(COUNTIF($A$5:A138,A138)&gt;1,G138&lt;0,C138="",B138&lt;'Work 1'!$C$6,B138&gt;'Work 1'!$C$7,H138&gt;'Work 1'!$C$8*AVERAGEIF($F$5:$F$1014,F138,$H$5:$H$1014)),"Excl",IF(B138&gt;='Work 1'!$C$5,"LTM","Prior"))</f>
        <v/>
      </c>
      <c r="L138">
        <f>I138-J138</f>
        <v/>
      </c>
    </row>
    <row r="139" ht="14.25" customHeight="1" s="54">
      <c r="A139" s="20" t="inlineStr">
        <is>
          <t>BH-40133</t>
        </is>
      </c>
      <c r="B139" s="21" t="n">
        <v>45566</v>
      </c>
      <c r="C139" s="20" t="inlineStr">
        <is>
          <t>C02</t>
        </is>
      </c>
      <c r="D139" s="20" t="inlineStr">
        <is>
          <t>Crestline Grocers</t>
        </is>
      </c>
      <c r="E139" s="20" t="inlineStr">
        <is>
          <t>Grocery</t>
        </is>
      </c>
      <c r="F139" s="20" t="inlineStr">
        <is>
          <t>Granola</t>
        </is>
      </c>
      <c r="G139" s="22" t="n">
        <v>4016</v>
      </c>
      <c r="H139" s="23" t="n">
        <v>40.55</v>
      </c>
      <c r="I139" s="23" t="n">
        <v>162848.8</v>
      </c>
      <c r="J139" s="23" t="n">
        <v>104817.6</v>
      </c>
      <c r="K139">
        <f>IF(OR(COUNTIF($A$5:A139,A139)&gt;1,G139&lt;0,C139="",B139&lt;'Work 1'!$C$6,B139&gt;'Work 1'!$C$7,H139&gt;'Work 1'!$C$8*AVERAGEIF($F$5:$F$1014,F139,$H$5:$H$1014)),"Excl",IF(B139&gt;='Work 1'!$C$5,"LTM","Prior"))</f>
        <v/>
      </c>
      <c r="L139">
        <f>I139-J139</f>
        <v/>
      </c>
    </row>
    <row r="140" ht="14.25" customHeight="1" s="54">
      <c r="A140" s="20" t="inlineStr">
        <is>
          <t>BH-40134</t>
        </is>
      </c>
      <c r="B140" s="21" t="n">
        <v>45566</v>
      </c>
      <c r="C140" s="20" t="inlineStr">
        <is>
          <t>C02</t>
        </is>
      </c>
      <c r="D140" s="20" t="inlineStr">
        <is>
          <t>Crestline Grocers</t>
        </is>
      </c>
      <c r="E140" s="20" t="inlineStr">
        <is>
          <t>Grocery</t>
        </is>
      </c>
      <c r="F140" s="20" t="inlineStr">
        <is>
          <t>Nut Butter</t>
        </is>
      </c>
      <c r="G140" s="22" t="n">
        <v>2018</v>
      </c>
      <c r="H140" s="23" t="n">
        <v>53.93</v>
      </c>
      <c r="I140" s="23" t="n">
        <v>108830.74</v>
      </c>
      <c r="J140" s="23" t="n">
        <v>77491.2</v>
      </c>
      <c r="K140">
        <f>IF(OR(COUNTIF($A$5:A140,A140)&gt;1,G140&lt;0,C140="",B140&lt;'Work 1'!$C$6,B140&gt;'Work 1'!$C$7,H140&gt;'Work 1'!$C$8*AVERAGEIF($F$5:$F$1014,F140,$H$5:$H$1014)),"Excl",IF(B140&gt;='Work 1'!$C$5,"LTM","Prior"))</f>
        <v/>
      </c>
      <c r="L140">
        <f>I140-J140</f>
        <v/>
      </c>
    </row>
    <row r="141" ht="14.25" customHeight="1" s="54">
      <c r="A141" s="20" t="inlineStr">
        <is>
          <t>BH-40135</t>
        </is>
      </c>
      <c r="B141" s="21" t="n">
        <v>45566</v>
      </c>
      <c r="C141" s="20" t="inlineStr">
        <is>
          <t>C02</t>
        </is>
      </c>
      <c r="D141" s="20" t="inlineStr">
        <is>
          <t>Crestline Grocers</t>
        </is>
      </c>
      <c r="E141" s="20" t="inlineStr">
        <is>
          <t>Grocery</t>
        </is>
      </c>
      <c r="F141" s="20" t="inlineStr">
        <is>
          <t>Snack Bars</t>
        </is>
      </c>
      <c r="G141" s="22" t="n">
        <v>3543</v>
      </c>
      <c r="H141" s="23" t="n">
        <v>31.43</v>
      </c>
      <c r="I141" s="23" t="n">
        <v>111356.49</v>
      </c>
      <c r="J141" s="23" t="n">
        <v>70151.39999999999</v>
      </c>
      <c r="K141">
        <f>IF(OR(COUNTIF($A$5:A141,A141)&gt;1,G141&lt;0,C141="",B141&lt;'Work 1'!$C$6,B141&gt;'Work 1'!$C$7,H141&gt;'Work 1'!$C$8*AVERAGEIF($F$5:$F$1014,F141,$H$5:$H$1014)),"Excl",IF(B141&gt;='Work 1'!$C$5,"LTM","Prior"))</f>
        <v/>
      </c>
      <c r="L141">
        <f>I141-J141</f>
        <v/>
      </c>
    </row>
    <row r="142" ht="14.25" customHeight="1" s="54">
      <c r="A142" s="20" t="inlineStr">
        <is>
          <t>BH-40136</t>
        </is>
      </c>
      <c r="B142" s="21" t="n">
        <v>45566</v>
      </c>
      <c r="C142" s="20" t="inlineStr">
        <is>
          <t>C03</t>
        </is>
      </c>
      <c r="D142" s="20" t="inlineStr">
        <is>
          <t>ValuClub Warehouse</t>
        </is>
      </c>
      <c r="E142" s="20" t="inlineStr">
        <is>
          <t>Club</t>
        </is>
      </c>
      <c r="F142" s="20" t="inlineStr">
        <is>
          <t>Granola</t>
        </is>
      </c>
      <c r="G142" s="22" t="n">
        <v>12443</v>
      </c>
      <c r="H142" s="23" t="n">
        <v>35.9</v>
      </c>
      <c r="I142" s="23" t="n">
        <v>446703.7</v>
      </c>
      <c r="J142" s="23" t="n">
        <v>324762.3</v>
      </c>
      <c r="K142">
        <f>IF(OR(COUNTIF($A$5:A142,A142)&gt;1,G142&lt;0,C142="",B142&lt;'Work 1'!$C$6,B142&gt;'Work 1'!$C$7,H142&gt;'Work 1'!$C$8*AVERAGEIF($F$5:$F$1014,F142,$H$5:$H$1014)),"Excl",IF(B142&gt;='Work 1'!$C$5,"LTM","Prior"))</f>
        <v/>
      </c>
      <c r="L142">
        <f>I142-J142</f>
        <v/>
      </c>
    </row>
    <row r="143" ht="14.25" customHeight="1" s="54">
      <c r="A143" s="20" t="inlineStr">
        <is>
          <t>BH-40137</t>
        </is>
      </c>
      <c r="B143" s="21" t="n">
        <v>45566</v>
      </c>
      <c r="C143" s="20" t="inlineStr">
        <is>
          <t>C03</t>
        </is>
      </c>
      <c r="D143" s="20" t="inlineStr">
        <is>
          <t>ValuClub Warehouse</t>
        </is>
      </c>
      <c r="E143" s="20" t="inlineStr">
        <is>
          <t>Club</t>
        </is>
      </c>
      <c r="F143" s="20" t="inlineStr">
        <is>
          <t>Snack Bars</t>
        </is>
      </c>
      <c r="G143" s="22" t="n">
        <v>12668</v>
      </c>
      <c r="H143" s="23" t="n">
        <v>27.4</v>
      </c>
      <c r="I143" s="23" t="n">
        <v>347103.2</v>
      </c>
      <c r="J143" s="23" t="n">
        <v>250826.4</v>
      </c>
      <c r="K143">
        <f>IF(OR(COUNTIF($A$5:A143,A143)&gt;1,G143&lt;0,C143="",B143&lt;'Work 1'!$C$6,B143&gt;'Work 1'!$C$7,H143&gt;'Work 1'!$C$8*AVERAGEIF($F$5:$F$1014,F143,$H$5:$H$1014)),"Excl",IF(B143&gt;='Work 1'!$C$5,"LTM","Prior"))</f>
        <v/>
      </c>
      <c r="L143">
        <f>I143-J143</f>
        <v/>
      </c>
    </row>
    <row r="144" ht="14.25" customHeight="1" s="54">
      <c r="A144" s="20" t="inlineStr">
        <is>
          <t>BH-40138</t>
        </is>
      </c>
      <c r="B144" s="21" t="n">
        <v>45566</v>
      </c>
      <c r="C144" s="20" t="inlineStr">
        <is>
          <t>C04</t>
        </is>
      </c>
      <c r="D144" s="20" t="inlineStr">
        <is>
          <t>Harvest Lane Co-op</t>
        </is>
      </c>
      <c r="E144" s="20" t="inlineStr">
        <is>
          <t>Grocery</t>
        </is>
      </c>
      <c r="F144" s="20" t="inlineStr">
        <is>
          <t>Granola</t>
        </is>
      </c>
      <c r="G144" s="22" t="n">
        <v>2827</v>
      </c>
      <c r="H144" s="23" t="n">
        <v>41.8</v>
      </c>
      <c r="I144" s="23" t="n">
        <v>118168.6</v>
      </c>
      <c r="J144" s="23" t="n">
        <v>73784.7</v>
      </c>
      <c r="K144">
        <f>IF(OR(COUNTIF($A$5:A144,A144)&gt;1,G144&lt;0,C144="",B144&lt;'Work 1'!$C$6,B144&gt;'Work 1'!$C$7,H144&gt;'Work 1'!$C$8*AVERAGEIF($F$5:$F$1014,F144,$H$5:$H$1014)),"Excl",IF(B144&gt;='Work 1'!$C$5,"LTM","Prior"))</f>
        <v/>
      </c>
      <c r="L144">
        <f>I144-J144</f>
        <v/>
      </c>
    </row>
    <row r="145" ht="14.25" customHeight="1" s="54">
      <c r="A145" s="20" t="inlineStr">
        <is>
          <t>BH-40139</t>
        </is>
      </c>
      <c r="B145" s="21" t="n">
        <v>45566</v>
      </c>
      <c r="C145" s="20" t="inlineStr">
        <is>
          <t>C04</t>
        </is>
      </c>
      <c r="D145" s="20" t="inlineStr">
        <is>
          <t>Harvest Lane Co-op</t>
        </is>
      </c>
      <c r="E145" s="20" t="inlineStr">
        <is>
          <t>Grocery</t>
        </is>
      </c>
      <c r="F145" s="20" t="inlineStr">
        <is>
          <t>Nut Butter</t>
        </is>
      </c>
      <c r="G145" s="22" t="n">
        <v>1517</v>
      </c>
      <c r="H145" s="23" t="n">
        <v>55.6</v>
      </c>
      <c r="I145" s="23" t="n">
        <v>84345.2</v>
      </c>
      <c r="J145" s="23" t="n">
        <v>58252.8</v>
      </c>
      <c r="K145">
        <f>IF(OR(COUNTIF($A$5:A145,A145)&gt;1,G145&lt;0,C145="",B145&lt;'Work 1'!$C$6,B145&gt;'Work 1'!$C$7,H145&gt;'Work 1'!$C$8*AVERAGEIF($F$5:$F$1014,F145,$H$5:$H$1014)),"Excl",IF(B145&gt;='Work 1'!$C$5,"LTM","Prior"))</f>
        <v/>
      </c>
      <c r="L145">
        <f>I145-J145</f>
        <v/>
      </c>
    </row>
    <row r="146" ht="14.25" customHeight="1" s="54">
      <c r="A146" s="20" t="inlineStr">
        <is>
          <t>BH-40140</t>
        </is>
      </c>
      <c r="B146" s="21" t="n">
        <v>45566</v>
      </c>
      <c r="C146" s="20" t="inlineStr">
        <is>
          <t>C04</t>
        </is>
      </c>
      <c r="D146" s="20" t="inlineStr">
        <is>
          <t>Harvest Lane Co-op</t>
        </is>
      </c>
      <c r="E146" s="20" t="inlineStr">
        <is>
          <t>Grocery</t>
        </is>
      </c>
      <c r="F146" s="20" t="inlineStr">
        <is>
          <t>Snack Bars</t>
        </is>
      </c>
      <c r="G146" s="22" t="n">
        <v>1822</v>
      </c>
      <c r="H146" s="23" t="n">
        <v>32.4</v>
      </c>
      <c r="I146" s="23" t="n">
        <v>59032.8</v>
      </c>
      <c r="J146" s="23" t="n">
        <v>36075.6</v>
      </c>
      <c r="K146">
        <f>IF(OR(COUNTIF($A$5:A146,A146)&gt;1,G146&lt;0,C146="",B146&lt;'Work 1'!$C$6,B146&gt;'Work 1'!$C$7,H146&gt;'Work 1'!$C$8*AVERAGEIF($F$5:$F$1014,F146,$H$5:$H$1014)),"Excl",IF(B146&gt;='Work 1'!$C$5,"LTM","Prior"))</f>
        <v/>
      </c>
      <c r="L146">
        <f>I146-J146</f>
        <v/>
      </c>
    </row>
    <row r="147" ht="14.25" customHeight="1" s="54">
      <c r="A147" s="20" t="inlineStr">
        <is>
          <t>BH-40141</t>
        </is>
      </c>
      <c r="B147" s="21" t="n">
        <v>45566</v>
      </c>
      <c r="C147" s="20" t="inlineStr">
        <is>
          <t>C05</t>
        </is>
      </c>
      <c r="D147" s="20" t="inlineStr">
        <is>
          <t>Pioneer Foods Distribution</t>
        </is>
      </c>
      <c r="E147" s="20" t="inlineStr">
        <is>
          <t>Grocery</t>
        </is>
      </c>
      <c r="F147" s="20" t="inlineStr">
        <is>
          <t>Granola</t>
        </is>
      </c>
      <c r="G147" s="22" t="n">
        <v>3808</v>
      </c>
      <c r="H147" s="23" t="n">
        <v>37.62</v>
      </c>
      <c r="I147" s="23" t="n">
        <v>143256.96</v>
      </c>
      <c r="J147" s="23" t="n">
        <v>99388.8</v>
      </c>
      <c r="K147">
        <f>IF(OR(COUNTIF($A$5:A147,A147)&gt;1,G147&lt;0,C147="",B147&lt;'Work 1'!$C$6,B147&gt;'Work 1'!$C$7,H147&gt;'Work 1'!$C$8*AVERAGEIF($F$5:$F$1014,F147,$H$5:$H$1014)),"Excl",IF(B147&gt;='Work 1'!$C$5,"LTM","Prior"))</f>
        <v/>
      </c>
      <c r="L147">
        <f>I147-J147</f>
        <v/>
      </c>
    </row>
    <row r="148" ht="14.25" customHeight="1" s="54">
      <c r="A148" s="20" t="inlineStr">
        <is>
          <t>BH-40142</t>
        </is>
      </c>
      <c r="B148" s="21" t="n">
        <v>45566</v>
      </c>
      <c r="C148" s="20" t="inlineStr">
        <is>
          <t>C05</t>
        </is>
      </c>
      <c r="D148" s="20" t="inlineStr">
        <is>
          <t>Pioneer Foods Distribution</t>
        </is>
      </c>
      <c r="E148" s="20" t="inlineStr">
        <is>
          <t>Grocery</t>
        </is>
      </c>
      <c r="F148" s="20" t="inlineStr">
        <is>
          <t>Nut Butter</t>
        </is>
      </c>
      <c r="G148" s="22" t="n">
        <v>2042</v>
      </c>
      <c r="H148" s="23" t="n">
        <v>50.04</v>
      </c>
      <c r="I148" s="23" t="n">
        <v>102181.68</v>
      </c>
      <c r="J148" s="23" t="n">
        <v>78412.8</v>
      </c>
      <c r="K148">
        <f>IF(OR(COUNTIF($A$5:A148,A148)&gt;1,G148&lt;0,C148="",B148&lt;'Work 1'!$C$6,B148&gt;'Work 1'!$C$7,H148&gt;'Work 1'!$C$8*AVERAGEIF($F$5:$F$1014,F148,$H$5:$H$1014)),"Excl",IF(B148&gt;='Work 1'!$C$5,"LTM","Prior"))</f>
        <v/>
      </c>
      <c r="L148">
        <f>I148-J148</f>
        <v/>
      </c>
    </row>
    <row r="149" ht="14.25" customHeight="1" s="54">
      <c r="A149" s="20" t="inlineStr">
        <is>
          <t>BH-40143</t>
        </is>
      </c>
      <c r="B149" s="21" t="n">
        <v>45566</v>
      </c>
      <c r="C149" s="20" t="inlineStr">
        <is>
          <t>C05</t>
        </is>
      </c>
      <c r="D149" s="20" t="inlineStr">
        <is>
          <t>Pioneer Foods Distribution</t>
        </is>
      </c>
      <c r="E149" s="20" t="inlineStr">
        <is>
          <t>Grocery</t>
        </is>
      </c>
      <c r="F149" s="20" t="inlineStr">
        <is>
          <t>Snack Bars</t>
        </is>
      </c>
      <c r="G149" s="22" t="n">
        <v>3239</v>
      </c>
      <c r="H149" s="23" t="n">
        <v>29.16</v>
      </c>
      <c r="I149" s="23" t="n">
        <v>94449.24000000001</v>
      </c>
      <c r="J149" s="23" t="n">
        <v>64132.2</v>
      </c>
      <c r="K149">
        <f>IF(OR(COUNTIF($A$5:A149,A149)&gt;1,G149&lt;0,C149="",B149&lt;'Work 1'!$C$6,B149&gt;'Work 1'!$C$7,H149&gt;'Work 1'!$C$8*AVERAGEIF($F$5:$F$1014,F149,$H$5:$H$1014)),"Excl",IF(B149&gt;='Work 1'!$C$5,"LTM","Prior"))</f>
        <v/>
      </c>
      <c r="L149">
        <f>I149-J149</f>
        <v/>
      </c>
    </row>
    <row r="150" ht="14.25" customHeight="1" s="54">
      <c r="A150" s="20" t="inlineStr">
        <is>
          <t>BH-40144</t>
        </is>
      </c>
      <c r="B150" s="21" t="n">
        <v>45566</v>
      </c>
      <c r="C150" s="20" t="inlineStr">
        <is>
          <t>C06</t>
        </is>
      </c>
      <c r="D150" s="20" t="inlineStr">
        <is>
          <t>Summit Club Stores</t>
        </is>
      </c>
      <c r="E150" s="20" t="inlineStr">
        <is>
          <t>Club</t>
        </is>
      </c>
      <c r="F150" s="20" t="inlineStr">
        <is>
          <t>Granola</t>
        </is>
      </c>
      <c r="G150" s="22" t="n">
        <v>5209</v>
      </c>
      <c r="H150" s="23" t="n">
        <v>35.9</v>
      </c>
      <c r="I150" s="23" t="n">
        <v>187003.1</v>
      </c>
      <c r="J150" s="23" t="n">
        <v>135954.9</v>
      </c>
      <c r="K150">
        <f>IF(OR(COUNTIF($A$5:A150,A150)&gt;1,G150&lt;0,C150="",B150&lt;'Work 1'!$C$6,B150&gt;'Work 1'!$C$7,H150&gt;'Work 1'!$C$8*AVERAGEIF($F$5:$F$1014,F150,$H$5:$H$1014)),"Excl",IF(B150&gt;='Work 1'!$C$5,"LTM","Prior"))</f>
        <v/>
      </c>
      <c r="L150">
        <f>I150-J150</f>
        <v/>
      </c>
    </row>
    <row r="151" ht="14.25" customHeight="1" s="54">
      <c r="A151" s="20" t="inlineStr">
        <is>
          <t>BH-40145</t>
        </is>
      </c>
      <c r="B151" s="21" t="n">
        <v>45566</v>
      </c>
      <c r="C151" s="20" t="inlineStr">
        <is>
          <t>C06</t>
        </is>
      </c>
      <c r="D151" s="20" t="inlineStr">
        <is>
          <t>Summit Club Stores</t>
        </is>
      </c>
      <c r="E151" s="20" t="inlineStr">
        <is>
          <t>Club</t>
        </is>
      </c>
      <c r="F151" s="20" t="inlineStr">
        <is>
          <t>Nut Butter</t>
        </is>
      </c>
      <c r="G151" s="22" t="n">
        <v>2813</v>
      </c>
      <c r="H151" s="23" t="n">
        <v>47.8</v>
      </c>
      <c r="I151" s="23" t="n">
        <v>134461.4</v>
      </c>
      <c r="J151" s="23" t="n">
        <v>108019.2</v>
      </c>
      <c r="K151">
        <f>IF(OR(COUNTIF($A$5:A151,A151)&gt;1,G151&lt;0,C151="",B151&lt;'Work 1'!$C$6,B151&gt;'Work 1'!$C$7,H151&gt;'Work 1'!$C$8*AVERAGEIF($F$5:$F$1014,F151,$H$5:$H$1014)),"Excl",IF(B151&gt;='Work 1'!$C$5,"LTM","Prior"))</f>
        <v/>
      </c>
      <c r="L151">
        <f>I151-J151</f>
        <v/>
      </c>
    </row>
    <row r="152" ht="14.25" customHeight="1" s="54">
      <c r="A152" s="20" t="inlineStr">
        <is>
          <t>BH-40146</t>
        </is>
      </c>
      <c r="B152" s="21" t="n">
        <v>45566</v>
      </c>
      <c r="C152" s="20" t="inlineStr">
        <is>
          <t>C07</t>
        </is>
      </c>
      <c r="D152" s="20" t="inlineStr">
        <is>
          <t>Bramble Hill Online Store</t>
        </is>
      </c>
      <c r="E152" s="20" t="inlineStr">
        <is>
          <t>Online</t>
        </is>
      </c>
      <c r="F152" s="20" t="inlineStr">
        <is>
          <t>Granola</t>
        </is>
      </c>
      <c r="G152" s="22" t="n">
        <v>3357</v>
      </c>
      <c r="H152" s="23" t="n">
        <v>47.5</v>
      </c>
      <c r="I152" s="23" t="n">
        <v>159457.5</v>
      </c>
      <c r="J152" s="23" t="n">
        <v>87617.7</v>
      </c>
      <c r="K152">
        <f>IF(OR(COUNTIF($A$5:A152,A152)&gt;1,G152&lt;0,C152="",B152&lt;'Work 1'!$C$6,B152&gt;'Work 1'!$C$7,H152&gt;'Work 1'!$C$8*AVERAGEIF($F$5:$F$1014,F152,$H$5:$H$1014)),"Excl",IF(B152&gt;='Work 1'!$C$5,"LTM","Prior"))</f>
        <v/>
      </c>
      <c r="L152">
        <f>I152-J152</f>
        <v/>
      </c>
    </row>
    <row r="153" ht="14.25" customHeight="1" s="54">
      <c r="A153" s="20" t="inlineStr">
        <is>
          <t>BH-40147</t>
        </is>
      </c>
      <c r="B153" s="21" t="n">
        <v>45566</v>
      </c>
      <c r="C153" s="20" t="inlineStr">
        <is>
          <t>C07</t>
        </is>
      </c>
      <c r="D153" s="20" t="inlineStr">
        <is>
          <t>Bramble Hill Online Store</t>
        </is>
      </c>
      <c r="E153" s="20" t="inlineStr">
        <is>
          <t>Online</t>
        </is>
      </c>
      <c r="F153" s="20" t="inlineStr">
        <is>
          <t>Nut Butter</t>
        </is>
      </c>
      <c r="G153" s="22" t="n">
        <v>1947</v>
      </c>
      <c r="H153" s="23" t="n">
        <v>61.9</v>
      </c>
      <c r="I153" s="23" t="n">
        <v>120519.3</v>
      </c>
      <c r="J153" s="23" t="n">
        <v>74764.8</v>
      </c>
      <c r="K153">
        <f>IF(OR(COUNTIF($A$5:A153,A153)&gt;1,G153&lt;0,C153="",B153&lt;'Work 1'!$C$6,B153&gt;'Work 1'!$C$7,H153&gt;'Work 1'!$C$8*AVERAGEIF($F$5:$F$1014,F153,$H$5:$H$1014)),"Excl",IF(B153&gt;='Work 1'!$C$5,"LTM","Prior"))</f>
        <v/>
      </c>
      <c r="L153">
        <f>I153-J153</f>
        <v/>
      </c>
    </row>
    <row r="154" ht="14.25" customHeight="1" s="54">
      <c r="A154" s="20" t="inlineStr">
        <is>
          <t>BH-40148</t>
        </is>
      </c>
      <c r="B154" s="21" t="n">
        <v>45566</v>
      </c>
      <c r="C154" s="20" t="inlineStr">
        <is>
          <t>C07</t>
        </is>
      </c>
      <c r="D154" s="20" t="inlineStr">
        <is>
          <t>Bramble Hill Online Store</t>
        </is>
      </c>
      <c r="E154" s="20" t="inlineStr">
        <is>
          <t>Online</t>
        </is>
      </c>
      <c r="F154" s="20" t="inlineStr">
        <is>
          <t>Snack Bars</t>
        </is>
      </c>
      <c r="G154" s="22" t="n">
        <v>2442</v>
      </c>
      <c r="H154" s="23" t="n">
        <v>37.8</v>
      </c>
      <c r="I154" s="23" t="n">
        <v>92307.60000000001</v>
      </c>
      <c r="J154" s="23" t="n">
        <v>48351.6</v>
      </c>
      <c r="K154">
        <f>IF(OR(COUNTIF($A$5:A154,A154)&gt;1,G154&lt;0,C154="",B154&lt;'Work 1'!$C$6,B154&gt;'Work 1'!$C$7,H154&gt;'Work 1'!$C$8*AVERAGEIF($F$5:$F$1014,F154,$H$5:$H$1014)),"Excl",IF(B154&gt;='Work 1'!$C$5,"LTM","Prior"))</f>
        <v/>
      </c>
      <c r="L154">
        <f>I154-J154</f>
        <v/>
      </c>
    </row>
    <row r="155" ht="14.25" customHeight="1" s="54">
      <c r="A155" s="20" t="inlineStr">
        <is>
          <t>BH-40149</t>
        </is>
      </c>
      <c r="B155" s="21" t="n">
        <v>45566</v>
      </c>
      <c r="C155" s="20" t="inlineStr">
        <is>
          <t>C08</t>
        </is>
      </c>
      <c r="D155" s="20" t="inlineStr">
        <is>
          <t>Online Marketplace</t>
        </is>
      </c>
      <c r="E155" s="20" t="inlineStr">
        <is>
          <t>Online</t>
        </is>
      </c>
      <c r="F155" s="20" t="inlineStr">
        <is>
          <t>Granola</t>
        </is>
      </c>
      <c r="G155" s="22" t="n">
        <v>3242</v>
      </c>
      <c r="H155" s="23" t="n">
        <v>41.8</v>
      </c>
      <c r="I155" s="23" t="n">
        <v>135515.6</v>
      </c>
      <c r="J155" s="23" t="n">
        <v>84616.2</v>
      </c>
      <c r="K155">
        <f>IF(OR(COUNTIF($A$5:A155,A155)&gt;1,G155&lt;0,C155="",B155&lt;'Work 1'!$C$6,B155&gt;'Work 1'!$C$7,H155&gt;'Work 1'!$C$8*AVERAGEIF($F$5:$F$1014,F155,$H$5:$H$1014)),"Excl",IF(B155&gt;='Work 1'!$C$5,"LTM","Prior"))</f>
        <v/>
      </c>
      <c r="L155">
        <f>I155-J155</f>
        <v/>
      </c>
    </row>
    <row r="156" ht="14.25" customHeight="1" s="54">
      <c r="A156" s="20" t="inlineStr">
        <is>
          <t>BH-40150</t>
        </is>
      </c>
      <c r="B156" s="21" t="n">
        <v>45566</v>
      </c>
      <c r="C156" s="20" t="inlineStr">
        <is>
          <t>C08</t>
        </is>
      </c>
      <c r="D156" s="20" t="inlineStr">
        <is>
          <t>Online Marketplace</t>
        </is>
      </c>
      <c r="E156" s="20" t="inlineStr">
        <is>
          <t>Online</t>
        </is>
      </c>
      <c r="F156" s="20" t="inlineStr">
        <is>
          <t>Nut Butter</t>
        </is>
      </c>
      <c r="G156" s="22" t="n">
        <v>1697</v>
      </c>
      <c r="H156" s="23" t="n">
        <v>54.47</v>
      </c>
      <c r="I156" s="23" t="n">
        <v>92435.59</v>
      </c>
      <c r="J156" s="23" t="n">
        <v>65164.8</v>
      </c>
      <c r="K156">
        <f>IF(OR(COUNTIF($A$5:A156,A156)&gt;1,G156&lt;0,C156="",B156&lt;'Work 1'!$C$6,B156&gt;'Work 1'!$C$7,H156&gt;'Work 1'!$C$8*AVERAGEIF($F$5:$F$1014,F156,$H$5:$H$1014)),"Excl",IF(B156&gt;='Work 1'!$C$5,"LTM","Prior"))</f>
        <v/>
      </c>
      <c r="L156">
        <f>I156-J156</f>
        <v/>
      </c>
    </row>
    <row r="157" ht="14.25" customHeight="1" s="54">
      <c r="A157" s="20" t="inlineStr">
        <is>
          <t>BH-40151</t>
        </is>
      </c>
      <c r="B157" s="21" t="n">
        <v>45566</v>
      </c>
      <c r="C157" s="20" t="inlineStr">
        <is>
          <t>C08</t>
        </is>
      </c>
      <c r="D157" s="20" t="inlineStr">
        <is>
          <t>Online Marketplace</t>
        </is>
      </c>
      <c r="E157" s="20" t="inlineStr">
        <is>
          <t>Online</t>
        </is>
      </c>
      <c r="F157" s="20" t="inlineStr">
        <is>
          <t>Snack Bars</t>
        </is>
      </c>
      <c r="G157" s="22" t="n">
        <v>2696</v>
      </c>
      <c r="H157" s="23" t="n">
        <v>33.26</v>
      </c>
      <c r="I157" s="23" t="n">
        <v>89668.96000000001</v>
      </c>
      <c r="J157" s="23" t="n">
        <v>53380.8</v>
      </c>
      <c r="K157">
        <f>IF(OR(COUNTIF($A$5:A157,A157)&gt;1,G157&lt;0,C157="",B157&lt;'Work 1'!$C$6,B157&gt;'Work 1'!$C$7,H157&gt;'Work 1'!$C$8*AVERAGEIF($F$5:$F$1014,F157,$H$5:$H$1014)),"Excl",IF(B157&gt;='Work 1'!$C$5,"LTM","Prior"))</f>
        <v/>
      </c>
      <c r="L157">
        <f>I157-J157</f>
        <v/>
      </c>
    </row>
    <row r="158" ht="14.25" customHeight="1" s="54">
      <c r="A158" s="20" t="inlineStr">
        <is>
          <t>BH-40152</t>
        </is>
      </c>
      <c r="B158" s="21" t="n">
        <v>45566</v>
      </c>
      <c r="C158" s="20" t="inlineStr">
        <is>
          <t>C09</t>
        </is>
      </c>
      <c r="D158" s="20" t="inlineStr">
        <is>
          <t>Maple Ridge Grocers</t>
        </is>
      </c>
      <c r="E158" s="20" t="inlineStr">
        <is>
          <t>Grocery</t>
        </is>
      </c>
      <c r="F158" s="20" t="inlineStr">
        <is>
          <t>Granola</t>
        </is>
      </c>
      <c r="G158" s="22" t="n">
        <v>1669</v>
      </c>
      <c r="H158" s="23" t="n">
        <v>41.8</v>
      </c>
      <c r="I158" s="23" t="n">
        <v>69764.2</v>
      </c>
      <c r="J158" s="23" t="n">
        <v>43560.9</v>
      </c>
      <c r="K158">
        <f>IF(OR(COUNTIF($A$5:A158,A158)&gt;1,G158&lt;0,C158="",B158&lt;'Work 1'!$C$6,B158&gt;'Work 1'!$C$7,H158&gt;'Work 1'!$C$8*AVERAGEIF($F$5:$F$1014,F158,$H$5:$H$1014)),"Excl",IF(B158&gt;='Work 1'!$C$5,"LTM","Prior"))</f>
        <v/>
      </c>
      <c r="L158">
        <f>I158-J158</f>
        <v/>
      </c>
    </row>
    <row r="159" ht="14.25" customHeight="1" s="54">
      <c r="A159" s="20" t="inlineStr">
        <is>
          <t>BH-40153</t>
        </is>
      </c>
      <c r="B159" s="21" t="n">
        <v>45566</v>
      </c>
      <c r="C159" s="20" t="inlineStr">
        <is>
          <t>C09</t>
        </is>
      </c>
      <c r="D159" s="20" t="inlineStr">
        <is>
          <t>Maple Ridge Grocers</t>
        </is>
      </c>
      <c r="E159" s="20" t="inlineStr">
        <is>
          <t>Grocery</t>
        </is>
      </c>
      <c r="F159" s="20" t="inlineStr">
        <is>
          <t>Snack Bars</t>
        </is>
      </c>
      <c r="G159" s="22" t="n">
        <v>1305</v>
      </c>
      <c r="H159" s="23" t="n">
        <v>32.4</v>
      </c>
      <c r="I159" s="23" t="n">
        <v>42282</v>
      </c>
      <c r="J159" s="23" t="n">
        <v>25839</v>
      </c>
      <c r="K159">
        <f>IF(OR(COUNTIF($A$5:A159,A159)&gt;1,G159&lt;0,C159="",B159&lt;'Work 1'!$C$6,B159&gt;'Work 1'!$C$7,H159&gt;'Work 1'!$C$8*AVERAGEIF($F$5:$F$1014,F159,$H$5:$H$1014)),"Excl",IF(B159&gt;='Work 1'!$C$5,"LTM","Prior"))</f>
        <v/>
      </c>
      <c r="L159">
        <f>I159-J159</f>
        <v/>
      </c>
    </row>
    <row r="160" ht="14.25" customHeight="1" s="54">
      <c r="A160" s="20" t="inlineStr">
        <is>
          <t>BH-40154</t>
        </is>
      </c>
      <c r="B160" s="21" t="n">
        <v>45566</v>
      </c>
      <c r="C160" s="20" t="inlineStr">
        <is>
          <t>C10</t>
        </is>
      </c>
      <c r="D160" s="20" t="inlineStr">
        <is>
          <t>Lakeshore Foods</t>
        </is>
      </c>
      <c r="E160" s="20" t="inlineStr">
        <is>
          <t>Grocery</t>
        </is>
      </c>
      <c r="F160" s="20" t="inlineStr">
        <is>
          <t>Granola</t>
        </is>
      </c>
      <c r="G160" s="22" t="n">
        <v>1439</v>
      </c>
      <c r="H160" s="23" t="n">
        <v>41.8</v>
      </c>
      <c r="I160" s="23" t="n">
        <v>60150.2</v>
      </c>
      <c r="J160" s="23" t="n">
        <v>37557.9</v>
      </c>
      <c r="K160">
        <f>IF(OR(COUNTIF($A$5:A160,A160)&gt;1,G160&lt;0,C160="",B160&lt;'Work 1'!$C$6,B160&gt;'Work 1'!$C$7,H160&gt;'Work 1'!$C$8*AVERAGEIF($F$5:$F$1014,F160,$H$5:$H$1014)),"Excl",IF(B160&gt;='Work 1'!$C$5,"LTM","Prior"))</f>
        <v/>
      </c>
      <c r="L160">
        <f>I160-J160</f>
        <v/>
      </c>
    </row>
    <row r="161" ht="14.25" customHeight="1" s="54">
      <c r="A161" s="20" t="inlineStr">
        <is>
          <t>BH-40155</t>
        </is>
      </c>
      <c r="B161" s="21" t="n">
        <v>45566</v>
      </c>
      <c r="C161" s="20" t="inlineStr">
        <is>
          <t>C10</t>
        </is>
      </c>
      <c r="D161" s="20" t="inlineStr">
        <is>
          <t>Lakeshore Foods</t>
        </is>
      </c>
      <c r="E161" s="20" t="inlineStr">
        <is>
          <t>Grocery</t>
        </is>
      </c>
      <c r="F161" s="20" t="inlineStr">
        <is>
          <t>Nut Butter</t>
        </is>
      </c>
      <c r="G161" s="22" t="n">
        <v>640</v>
      </c>
      <c r="H161" s="23" t="n">
        <v>55.6</v>
      </c>
      <c r="I161" s="23" t="n">
        <v>35584</v>
      </c>
      <c r="J161" s="23" t="n">
        <v>24576</v>
      </c>
      <c r="K161">
        <f>IF(OR(COUNTIF($A$5:A161,A161)&gt;1,G161&lt;0,C161="",B161&lt;'Work 1'!$C$6,B161&gt;'Work 1'!$C$7,H161&gt;'Work 1'!$C$8*AVERAGEIF($F$5:$F$1014,F161,$H$5:$H$1014)),"Excl",IF(B161&gt;='Work 1'!$C$5,"LTM","Prior"))</f>
        <v/>
      </c>
      <c r="L161">
        <f>I161-J161</f>
        <v/>
      </c>
    </row>
    <row r="162" ht="14.25" customHeight="1" s="54">
      <c r="A162" s="20" t="inlineStr">
        <is>
          <t>BH-40156</t>
        </is>
      </c>
      <c r="B162" s="21" t="n">
        <v>45566</v>
      </c>
      <c r="C162" s="20" t="inlineStr">
        <is>
          <t>C11</t>
        </is>
      </c>
      <c r="D162" s="20" t="inlineStr">
        <is>
          <t>Copper Valley Market</t>
        </is>
      </c>
      <c r="E162" s="20" t="inlineStr">
        <is>
          <t>Grocery</t>
        </is>
      </c>
      <c r="F162" s="20" t="inlineStr">
        <is>
          <t>Granola</t>
        </is>
      </c>
      <c r="G162" s="22" t="n">
        <v>1266</v>
      </c>
      <c r="H162" s="23" t="n">
        <v>41.8</v>
      </c>
      <c r="I162" s="23" t="n">
        <v>52918.8</v>
      </c>
      <c r="J162" s="23" t="n">
        <v>33042.6</v>
      </c>
      <c r="K162">
        <f>IF(OR(COUNTIF($A$5:A162,A162)&gt;1,G162&lt;0,C162="",B162&lt;'Work 1'!$C$6,B162&gt;'Work 1'!$C$7,H162&gt;'Work 1'!$C$8*AVERAGEIF($F$5:$F$1014,F162,$H$5:$H$1014)),"Excl",IF(B162&gt;='Work 1'!$C$5,"LTM","Prior"))</f>
        <v/>
      </c>
      <c r="L162">
        <f>I162-J162</f>
        <v/>
      </c>
    </row>
    <row r="163" ht="14.25" customHeight="1" s="54">
      <c r="A163" s="20" t="inlineStr">
        <is>
          <t>BH-40157</t>
        </is>
      </c>
      <c r="B163" s="21" t="n">
        <v>45566</v>
      </c>
      <c r="C163" s="20" t="inlineStr">
        <is>
          <t>C11</t>
        </is>
      </c>
      <c r="D163" s="20" t="inlineStr">
        <is>
          <t>Copper Valley Market</t>
        </is>
      </c>
      <c r="E163" s="20" t="inlineStr">
        <is>
          <t>Grocery</t>
        </is>
      </c>
      <c r="F163" s="20" t="inlineStr">
        <is>
          <t>Snack Bars</t>
        </is>
      </c>
      <c r="G163" s="22" t="n">
        <v>1365</v>
      </c>
      <c r="H163" s="23" t="n">
        <v>32.4</v>
      </c>
      <c r="I163" s="23" t="n">
        <v>44226</v>
      </c>
      <c r="J163" s="23" t="n">
        <v>27027</v>
      </c>
      <c r="K163">
        <f>IF(OR(COUNTIF($A$5:A163,A163)&gt;1,G163&lt;0,C163="",B163&lt;'Work 1'!$C$6,B163&gt;'Work 1'!$C$7,H163&gt;'Work 1'!$C$8*AVERAGEIF($F$5:$F$1014,F163,$H$5:$H$1014)),"Excl",IF(B163&gt;='Work 1'!$C$5,"LTM","Prior"))</f>
        <v/>
      </c>
      <c r="L163">
        <f>I163-J163</f>
        <v/>
      </c>
    </row>
    <row r="164" ht="14.25" customHeight="1" s="54">
      <c r="A164" s="20" t="inlineStr">
        <is>
          <t>BH-40158</t>
        </is>
      </c>
      <c r="B164" s="21" t="n">
        <v>45566</v>
      </c>
      <c r="C164" s="20" t="inlineStr">
        <is>
          <t>C12</t>
        </is>
      </c>
      <c r="D164" s="20" t="inlineStr">
        <is>
          <t>Riverbend Grocery</t>
        </is>
      </c>
      <c r="E164" s="20" t="inlineStr">
        <is>
          <t>Grocery</t>
        </is>
      </c>
      <c r="F164" s="20" t="inlineStr">
        <is>
          <t>Granola</t>
        </is>
      </c>
      <c r="G164" s="22" t="n">
        <v>1840</v>
      </c>
      <c r="H164" s="23" t="n">
        <v>41.8</v>
      </c>
      <c r="I164" s="23" t="n">
        <v>76912</v>
      </c>
      <c r="J164" s="23" t="n">
        <v>48024</v>
      </c>
      <c r="K164">
        <f>IF(OR(COUNTIF($A$5:A164,A164)&gt;1,G164&lt;0,C164="",B164&lt;'Work 1'!$C$6,B164&gt;'Work 1'!$C$7,H164&gt;'Work 1'!$C$8*AVERAGEIF($F$5:$F$1014,F164,$H$5:$H$1014)),"Excl",IF(B164&gt;='Work 1'!$C$5,"LTM","Prior"))</f>
        <v/>
      </c>
      <c r="L164">
        <f>I164-J164</f>
        <v/>
      </c>
    </row>
    <row r="165" ht="14.25" customHeight="1" s="54">
      <c r="A165" s="20" t="inlineStr">
        <is>
          <t>BH-40159</t>
        </is>
      </c>
      <c r="B165" s="21" t="n">
        <v>45566</v>
      </c>
      <c r="C165" s="20" t="inlineStr">
        <is>
          <t>C12</t>
        </is>
      </c>
      <c r="D165" s="20" t="inlineStr">
        <is>
          <t>Riverbend Grocery</t>
        </is>
      </c>
      <c r="E165" s="20" t="inlineStr">
        <is>
          <t>Grocery</t>
        </is>
      </c>
      <c r="F165" s="20" t="inlineStr">
        <is>
          <t>Nut Butter</t>
        </is>
      </c>
      <c r="G165" s="22" t="n">
        <v>771</v>
      </c>
      <c r="H165" s="23" t="n">
        <v>55.6</v>
      </c>
      <c r="I165" s="23" t="n">
        <v>42867.6</v>
      </c>
      <c r="J165" s="23" t="n">
        <v>29606.4</v>
      </c>
      <c r="K165">
        <f>IF(OR(COUNTIF($A$5:A165,A165)&gt;1,G165&lt;0,C165="",B165&lt;'Work 1'!$C$6,B165&gt;'Work 1'!$C$7,H165&gt;'Work 1'!$C$8*AVERAGEIF($F$5:$F$1014,F165,$H$5:$H$1014)),"Excl",IF(B165&gt;='Work 1'!$C$5,"LTM","Prior"))</f>
        <v/>
      </c>
      <c r="L165">
        <f>I165-J165</f>
        <v/>
      </c>
    </row>
    <row r="166" ht="14.25" customHeight="1" s="54">
      <c r="A166" s="20" t="inlineStr">
        <is>
          <t>BH-40160</t>
        </is>
      </c>
      <c r="B166" s="21" t="n">
        <v>45566</v>
      </c>
      <c r="C166" s="20" t="inlineStr">
        <is>
          <t>C13</t>
        </is>
      </c>
      <c r="D166" s="20" t="inlineStr">
        <is>
          <t>Sunfield Markets</t>
        </is>
      </c>
      <c r="E166" s="20" t="inlineStr">
        <is>
          <t>Grocery</t>
        </is>
      </c>
      <c r="F166" s="20" t="inlineStr">
        <is>
          <t>Granola</t>
        </is>
      </c>
      <c r="G166" s="22" t="n">
        <v>1048</v>
      </c>
      <c r="H166" s="23" t="n">
        <v>41.8</v>
      </c>
      <c r="I166" s="23" t="n">
        <v>43806.4</v>
      </c>
      <c r="J166" s="23" t="n">
        <v>27352.8</v>
      </c>
      <c r="K166">
        <f>IF(OR(COUNTIF($A$5:A166,A166)&gt;1,G166&lt;0,C166="",B166&lt;'Work 1'!$C$6,B166&gt;'Work 1'!$C$7,H166&gt;'Work 1'!$C$8*AVERAGEIF($F$5:$F$1014,F166,$H$5:$H$1014)),"Excl",IF(B166&gt;='Work 1'!$C$5,"LTM","Prior"))</f>
        <v/>
      </c>
      <c r="L166">
        <f>I166-J166</f>
        <v/>
      </c>
    </row>
    <row r="167" ht="14.25" customHeight="1" s="54">
      <c r="A167" s="20" t="inlineStr">
        <is>
          <t>BH-40161</t>
        </is>
      </c>
      <c r="B167" s="21" t="n">
        <v>45566</v>
      </c>
      <c r="C167" s="20" t="inlineStr">
        <is>
          <t>C13</t>
        </is>
      </c>
      <c r="D167" s="20" t="inlineStr">
        <is>
          <t>Sunfield Markets</t>
        </is>
      </c>
      <c r="E167" s="20" t="inlineStr">
        <is>
          <t>Grocery</t>
        </is>
      </c>
      <c r="F167" s="20" t="inlineStr">
        <is>
          <t>Snack Bars</t>
        </is>
      </c>
      <c r="G167" s="22" t="n">
        <v>1098</v>
      </c>
      <c r="H167" s="23" t="n">
        <v>32.4</v>
      </c>
      <c r="I167" s="23" t="n">
        <v>35575.2</v>
      </c>
      <c r="J167" s="23" t="n">
        <v>21740.4</v>
      </c>
      <c r="K167">
        <f>IF(OR(COUNTIF($A$5:A167,A167)&gt;1,G167&lt;0,C167="",B167&lt;'Work 1'!$C$6,B167&gt;'Work 1'!$C$7,H167&gt;'Work 1'!$C$8*AVERAGEIF($F$5:$F$1014,F167,$H$5:$H$1014)),"Excl",IF(B167&gt;='Work 1'!$C$5,"LTM","Prior"))</f>
        <v/>
      </c>
      <c r="L167">
        <f>I167-J167</f>
        <v/>
      </c>
    </row>
    <row r="168" ht="14.25" customHeight="1" s="54">
      <c r="A168" s="20" t="inlineStr">
        <is>
          <t>BH-40162</t>
        </is>
      </c>
      <c r="B168" s="21" t="n">
        <v>45566</v>
      </c>
      <c r="C168" s="20" t="inlineStr">
        <is>
          <t>C14</t>
        </is>
      </c>
      <c r="D168" s="20" t="inlineStr">
        <is>
          <t>Oak Hollow Foods</t>
        </is>
      </c>
      <c r="E168" s="20" t="inlineStr">
        <is>
          <t>Grocery</t>
        </is>
      </c>
      <c r="F168" s="20" t="inlineStr">
        <is>
          <t>Granola</t>
        </is>
      </c>
      <c r="G168" s="22" t="n">
        <v>1268</v>
      </c>
      <c r="H168" s="23" t="n">
        <v>41.8</v>
      </c>
      <c r="I168" s="23" t="n">
        <v>53002.4</v>
      </c>
      <c r="J168" s="23" t="n">
        <v>33094.8</v>
      </c>
      <c r="K168">
        <f>IF(OR(COUNTIF($A$5:A168,A168)&gt;1,G168&lt;0,C168="",B168&lt;'Work 1'!$C$6,B168&gt;'Work 1'!$C$7,H168&gt;'Work 1'!$C$8*AVERAGEIF($F$5:$F$1014,F168,$H$5:$H$1014)),"Excl",IF(B168&gt;='Work 1'!$C$5,"LTM","Prior"))</f>
        <v/>
      </c>
      <c r="L168">
        <f>I168-J168</f>
        <v/>
      </c>
    </row>
    <row r="169" ht="14.25" customHeight="1" s="54">
      <c r="A169" s="20" t="inlineStr">
        <is>
          <t>BH-40163</t>
        </is>
      </c>
      <c r="B169" s="21" t="n">
        <v>45566</v>
      </c>
      <c r="C169" s="20" t="inlineStr">
        <is>
          <t>C14</t>
        </is>
      </c>
      <c r="D169" s="20" t="inlineStr">
        <is>
          <t>Oak Hollow Foods</t>
        </is>
      </c>
      <c r="E169" s="20" t="inlineStr">
        <is>
          <t>Grocery</t>
        </is>
      </c>
      <c r="F169" s="20" t="inlineStr">
        <is>
          <t>Nut Butter</t>
        </is>
      </c>
      <c r="G169" s="22" t="n">
        <v>492</v>
      </c>
      <c r="H169" s="23" t="n">
        <v>55.6</v>
      </c>
      <c r="I169" s="23" t="n">
        <v>27355.2</v>
      </c>
      <c r="J169" s="23" t="n">
        <v>18892.8</v>
      </c>
      <c r="K169">
        <f>IF(OR(COUNTIF($A$5:A169,A169)&gt;1,G169&lt;0,C169="",B169&lt;'Work 1'!$C$6,B169&gt;'Work 1'!$C$7,H169&gt;'Work 1'!$C$8*AVERAGEIF($F$5:$F$1014,F169,$H$5:$H$1014)),"Excl",IF(B169&gt;='Work 1'!$C$5,"LTM","Prior"))</f>
        <v/>
      </c>
      <c r="L169">
        <f>I169-J169</f>
        <v/>
      </c>
    </row>
    <row r="170" ht="14.25" customHeight="1" s="54">
      <c r="A170" s="20" t="inlineStr">
        <is>
          <t>BH-40164</t>
        </is>
      </c>
      <c r="B170" s="21" t="n">
        <v>45566</v>
      </c>
      <c r="C170" s="20" t="inlineStr">
        <is>
          <t>C14</t>
        </is>
      </c>
      <c r="D170" s="20" t="inlineStr">
        <is>
          <t>Oak Hollow Foods</t>
        </is>
      </c>
      <c r="E170" s="20" t="inlineStr">
        <is>
          <t>Grocery</t>
        </is>
      </c>
      <c r="F170" s="20" t="inlineStr">
        <is>
          <t>Snack Bars</t>
        </is>
      </c>
      <c r="G170" s="22" t="n">
        <v>787</v>
      </c>
      <c r="H170" s="23" t="n">
        <v>32.4</v>
      </c>
      <c r="I170" s="23" t="n">
        <v>25498.8</v>
      </c>
      <c r="J170" s="23" t="n">
        <v>15582.6</v>
      </c>
      <c r="K170">
        <f>IF(OR(COUNTIF($A$5:A170,A170)&gt;1,G170&lt;0,C170="",B170&lt;'Work 1'!$C$6,B170&gt;'Work 1'!$C$7,H170&gt;'Work 1'!$C$8*AVERAGEIF($F$5:$F$1014,F170,$H$5:$H$1014)),"Excl",IF(B170&gt;='Work 1'!$C$5,"LTM","Prior"))</f>
        <v/>
      </c>
      <c r="L170">
        <f>I170-J170</f>
        <v/>
      </c>
    </row>
    <row r="171" ht="14.25" customHeight="1" s="54">
      <c r="A171" s="20" t="inlineStr">
        <is>
          <t>BH-40165</t>
        </is>
      </c>
      <c r="B171" s="21" t="n">
        <v>45566</v>
      </c>
      <c r="C171" s="20" t="inlineStr">
        <is>
          <t>C15</t>
        </is>
      </c>
      <c r="D171" s="20" t="inlineStr">
        <is>
          <t>Prairie Fresh</t>
        </is>
      </c>
      <c r="E171" s="20" t="inlineStr">
        <is>
          <t>Grocery</t>
        </is>
      </c>
      <c r="F171" s="20" t="inlineStr">
        <is>
          <t>Granola</t>
        </is>
      </c>
      <c r="G171" s="22" t="n">
        <v>1412</v>
      </c>
      <c r="H171" s="23" t="n">
        <v>41.8</v>
      </c>
      <c r="I171" s="23" t="n">
        <v>59021.6</v>
      </c>
      <c r="J171" s="23" t="n">
        <v>36853.2</v>
      </c>
      <c r="K171">
        <f>IF(OR(COUNTIF($A$5:A171,A171)&gt;1,G171&lt;0,C171="",B171&lt;'Work 1'!$C$6,B171&gt;'Work 1'!$C$7,H171&gt;'Work 1'!$C$8*AVERAGEIF($F$5:$F$1014,F171,$H$5:$H$1014)),"Excl",IF(B171&gt;='Work 1'!$C$5,"LTM","Prior"))</f>
        <v/>
      </c>
      <c r="L171">
        <f>I171-J171</f>
        <v/>
      </c>
    </row>
    <row r="172" ht="14.25" customHeight="1" s="54">
      <c r="A172" s="20" t="inlineStr">
        <is>
          <t>BH-40166</t>
        </is>
      </c>
      <c r="B172" s="21" t="n">
        <v>45566</v>
      </c>
      <c r="C172" s="20" t="inlineStr">
        <is>
          <t>C15</t>
        </is>
      </c>
      <c r="D172" s="20" t="inlineStr">
        <is>
          <t>Prairie Fresh</t>
        </is>
      </c>
      <c r="E172" s="20" t="inlineStr">
        <is>
          <t>Grocery</t>
        </is>
      </c>
      <c r="F172" s="20" t="inlineStr">
        <is>
          <t>Snack Bars</t>
        </is>
      </c>
      <c r="G172" s="22" t="n">
        <v>1068</v>
      </c>
      <c r="H172" s="23" t="n">
        <v>32.4</v>
      </c>
      <c r="I172" s="23" t="n">
        <v>34603.2</v>
      </c>
      <c r="J172" s="23" t="n">
        <v>21146.4</v>
      </c>
      <c r="K172">
        <f>IF(OR(COUNTIF($A$5:A172,A172)&gt;1,G172&lt;0,C172="",B172&lt;'Work 1'!$C$6,B172&gt;'Work 1'!$C$7,H172&gt;'Work 1'!$C$8*AVERAGEIF($F$5:$F$1014,F172,$H$5:$H$1014)),"Excl",IF(B172&gt;='Work 1'!$C$5,"LTM","Prior"))</f>
        <v/>
      </c>
      <c r="L172">
        <f>I172-J172</f>
        <v/>
      </c>
    </row>
    <row r="173" ht="14.25" customHeight="1" s="54">
      <c r="A173" s="20" t="inlineStr">
        <is>
          <t>BH-40167</t>
        </is>
      </c>
      <c r="B173" s="21" t="n">
        <v>45566</v>
      </c>
      <c r="C173" s="20" t="inlineStr">
        <is>
          <t>C16</t>
        </is>
      </c>
      <c r="D173" s="20" t="inlineStr">
        <is>
          <t>Bay Street Market</t>
        </is>
      </c>
      <c r="E173" s="20" t="inlineStr">
        <is>
          <t>Grocery</t>
        </is>
      </c>
      <c r="F173" s="20" t="inlineStr">
        <is>
          <t>Granola</t>
        </is>
      </c>
      <c r="G173" s="22" t="n">
        <v>1063</v>
      </c>
      <c r="H173" s="23" t="n">
        <v>41.8</v>
      </c>
      <c r="I173" s="23" t="n">
        <v>44433.4</v>
      </c>
      <c r="J173" s="23" t="n">
        <v>27744.3</v>
      </c>
      <c r="K173">
        <f>IF(OR(COUNTIF($A$5:A173,A173)&gt;1,G173&lt;0,C173="",B173&lt;'Work 1'!$C$6,B173&gt;'Work 1'!$C$7,H173&gt;'Work 1'!$C$8*AVERAGEIF($F$5:$F$1014,F173,$H$5:$H$1014)),"Excl",IF(B173&gt;='Work 1'!$C$5,"LTM","Prior"))</f>
        <v/>
      </c>
      <c r="L173">
        <f>I173-J173</f>
        <v/>
      </c>
    </row>
    <row r="174" ht="14.25" customHeight="1" s="54">
      <c r="A174" s="20" t="inlineStr">
        <is>
          <t>BH-40168</t>
        </is>
      </c>
      <c r="B174" s="21" t="n">
        <v>45566</v>
      </c>
      <c r="C174" s="20" t="inlineStr">
        <is>
          <t>C16</t>
        </is>
      </c>
      <c r="D174" s="20" t="inlineStr">
        <is>
          <t>Bay Street Market</t>
        </is>
      </c>
      <c r="E174" s="20" t="inlineStr">
        <is>
          <t>Grocery</t>
        </is>
      </c>
      <c r="F174" s="20" t="inlineStr">
        <is>
          <t>Nut Butter</t>
        </is>
      </c>
      <c r="G174" s="22" t="n">
        <v>620</v>
      </c>
      <c r="H174" s="23" t="n">
        <v>55.6</v>
      </c>
      <c r="I174" s="23" t="n">
        <v>34472</v>
      </c>
      <c r="J174" s="23" t="n">
        <v>23808</v>
      </c>
      <c r="K174">
        <f>IF(OR(COUNTIF($A$5:A174,A174)&gt;1,G174&lt;0,C174="",B174&lt;'Work 1'!$C$6,B174&gt;'Work 1'!$C$7,H174&gt;'Work 1'!$C$8*AVERAGEIF($F$5:$F$1014,F174,$H$5:$H$1014)),"Excl",IF(B174&gt;='Work 1'!$C$5,"LTM","Prior"))</f>
        <v/>
      </c>
      <c r="L174">
        <f>I174-J174</f>
        <v/>
      </c>
    </row>
    <row r="175" ht="14.25" customHeight="1" s="54">
      <c r="A175" s="20" t="inlineStr">
        <is>
          <t>BH-40169</t>
        </is>
      </c>
      <c r="B175" s="21" t="n">
        <v>45566</v>
      </c>
      <c r="C175" s="20" t="inlineStr">
        <is>
          <t>C17</t>
        </is>
      </c>
      <c r="D175" s="20" t="inlineStr">
        <is>
          <t>Eastgate Grocers</t>
        </is>
      </c>
      <c r="E175" s="20" t="inlineStr">
        <is>
          <t>Grocery</t>
        </is>
      </c>
      <c r="F175" s="20" t="inlineStr">
        <is>
          <t>Granola</t>
        </is>
      </c>
      <c r="G175" s="22" t="n">
        <v>1486</v>
      </c>
      <c r="H175" s="23" t="n">
        <v>41.8</v>
      </c>
      <c r="I175" s="23" t="n">
        <v>62114.8</v>
      </c>
      <c r="J175" s="23" t="n">
        <v>38784.6</v>
      </c>
      <c r="K175">
        <f>IF(OR(COUNTIF($A$5:A175,A175)&gt;1,G175&lt;0,C175="",B175&lt;'Work 1'!$C$6,B175&gt;'Work 1'!$C$7,H175&gt;'Work 1'!$C$8*AVERAGEIF($F$5:$F$1014,F175,$H$5:$H$1014)),"Excl",IF(B175&gt;='Work 1'!$C$5,"LTM","Prior"))</f>
        <v/>
      </c>
      <c r="L175">
        <f>I175-J175</f>
        <v/>
      </c>
    </row>
    <row r="176" ht="14.25" customHeight="1" s="54">
      <c r="A176" s="20" t="inlineStr">
        <is>
          <t>BH-40170</t>
        </is>
      </c>
      <c r="B176" s="21" t="n">
        <v>45566</v>
      </c>
      <c r="C176" s="20" t="inlineStr">
        <is>
          <t>C17</t>
        </is>
      </c>
      <c r="D176" s="20" t="inlineStr">
        <is>
          <t>Eastgate Grocers</t>
        </is>
      </c>
      <c r="E176" s="20" t="inlineStr">
        <is>
          <t>Grocery</t>
        </is>
      </c>
      <c r="F176" s="20" t="inlineStr">
        <is>
          <t>Snack Bars</t>
        </is>
      </c>
      <c r="G176" s="22" t="n">
        <v>1109</v>
      </c>
      <c r="H176" s="23" t="n">
        <v>32.4</v>
      </c>
      <c r="I176" s="23" t="n">
        <v>35931.6</v>
      </c>
      <c r="J176" s="23" t="n">
        <v>21958.2</v>
      </c>
      <c r="K176">
        <f>IF(OR(COUNTIF($A$5:A176,A176)&gt;1,G176&lt;0,C176="",B176&lt;'Work 1'!$C$6,B176&gt;'Work 1'!$C$7,H176&gt;'Work 1'!$C$8*AVERAGEIF($F$5:$F$1014,F176,$H$5:$H$1014)),"Excl",IF(B176&gt;='Work 1'!$C$5,"LTM","Prior"))</f>
        <v/>
      </c>
      <c r="L176">
        <f>I176-J176</f>
        <v/>
      </c>
    </row>
    <row r="177" ht="14.25" customHeight="1" s="54">
      <c r="A177" s="20" t="inlineStr">
        <is>
          <t>BH-40171</t>
        </is>
      </c>
      <c r="B177" s="21" t="n">
        <v>45566</v>
      </c>
      <c r="C177" s="20" t="inlineStr">
        <is>
          <t>C18</t>
        </is>
      </c>
      <c r="D177" s="20" t="inlineStr">
        <is>
          <t>Hillcrest Food Co.</t>
        </is>
      </c>
      <c r="E177" s="20" t="inlineStr">
        <is>
          <t>Grocery</t>
        </is>
      </c>
      <c r="F177" s="20" t="inlineStr">
        <is>
          <t>Granola</t>
        </is>
      </c>
      <c r="G177" s="22" t="n">
        <v>1067</v>
      </c>
      <c r="H177" s="23" t="n">
        <v>41.8</v>
      </c>
      <c r="I177" s="23" t="n">
        <v>44600.6</v>
      </c>
      <c r="J177" s="23" t="n">
        <v>27848.7</v>
      </c>
      <c r="K177">
        <f>IF(OR(COUNTIF($A$5:A177,A177)&gt;1,G177&lt;0,C177="",B177&lt;'Work 1'!$C$6,B177&gt;'Work 1'!$C$7,H177&gt;'Work 1'!$C$8*AVERAGEIF($F$5:$F$1014,F177,$H$5:$H$1014)),"Excl",IF(B177&gt;='Work 1'!$C$5,"LTM","Prior"))</f>
        <v/>
      </c>
      <c r="L177">
        <f>I177-J177</f>
        <v/>
      </c>
    </row>
    <row r="178" ht="14.25" customHeight="1" s="54">
      <c r="A178" s="20" t="inlineStr">
        <is>
          <t>BH-40172</t>
        </is>
      </c>
      <c r="B178" s="21" t="n">
        <v>45566</v>
      </c>
      <c r="C178" s="20" t="inlineStr">
        <is>
          <t>C18</t>
        </is>
      </c>
      <c r="D178" s="20" t="inlineStr">
        <is>
          <t>Hillcrest Food Co.</t>
        </is>
      </c>
      <c r="E178" s="20" t="inlineStr">
        <is>
          <t>Grocery</t>
        </is>
      </c>
      <c r="F178" s="20" t="inlineStr">
        <is>
          <t>Nut Butter</t>
        </is>
      </c>
      <c r="G178" s="22" t="n">
        <v>482</v>
      </c>
      <c r="H178" s="23" t="n">
        <v>55.6</v>
      </c>
      <c r="I178" s="23" t="n">
        <v>26799.2</v>
      </c>
      <c r="J178" s="23" t="n">
        <v>18508.8</v>
      </c>
      <c r="K178">
        <f>IF(OR(COUNTIF($A$5:A178,A178)&gt;1,G178&lt;0,C178="",B178&lt;'Work 1'!$C$6,B178&gt;'Work 1'!$C$7,H178&gt;'Work 1'!$C$8*AVERAGEIF($F$5:$F$1014,F178,$H$5:$H$1014)),"Excl",IF(B178&gt;='Work 1'!$C$5,"LTM","Prior"))</f>
        <v/>
      </c>
      <c r="L178">
        <f>I178-J178</f>
        <v/>
      </c>
    </row>
    <row r="179" ht="14.25" customHeight="1" s="54">
      <c r="A179" s="20" t="inlineStr">
        <is>
          <t>BH-40173</t>
        </is>
      </c>
      <c r="B179" s="21" t="n">
        <v>45597</v>
      </c>
      <c r="C179" s="20" t="inlineStr">
        <is>
          <t>C01</t>
        </is>
      </c>
      <c r="D179" s="20" t="inlineStr">
        <is>
          <t>Northfield Markets</t>
        </is>
      </c>
      <c r="E179" s="20" t="inlineStr">
        <is>
          <t>Grocery</t>
        </is>
      </c>
      <c r="F179" s="20" t="inlineStr">
        <is>
          <t>Granola</t>
        </is>
      </c>
      <c r="G179" s="22" t="n">
        <v>14112</v>
      </c>
      <c r="H179" s="23" t="n">
        <v>39.29</v>
      </c>
      <c r="I179" s="23" t="n">
        <v>554460.48</v>
      </c>
      <c r="J179" s="23" t="n">
        <v>368323.2</v>
      </c>
      <c r="K179">
        <f>IF(OR(COUNTIF($A$5:A179,A179)&gt;1,G179&lt;0,C179="",B179&lt;'Work 1'!$C$6,B179&gt;'Work 1'!$C$7,H179&gt;'Work 1'!$C$8*AVERAGEIF($F$5:$F$1014,F179,$H$5:$H$1014)),"Excl",IF(B179&gt;='Work 1'!$C$5,"LTM","Prior"))</f>
        <v/>
      </c>
      <c r="L179">
        <f>I179-J179</f>
        <v/>
      </c>
    </row>
    <row r="180" ht="14.25" customHeight="1" s="54">
      <c r="A180" s="20" t="inlineStr">
        <is>
          <t>BH-40174</t>
        </is>
      </c>
      <c r="B180" s="21" t="n">
        <v>45597</v>
      </c>
      <c r="C180" s="20" t="inlineStr">
        <is>
          <t>C01</t>
        </is>
      </c>
      <c r="D180" s="20" t="inlineStr">
        <is>
          <t>Northfield Markets</t>
        </is>
      </c>
      <c r="E180" s="20" t="inlineStr">
        <is>
          <t>Grocery</t>
        </is>
      </c>
      <c r="F180" s="20" t="inlineStr">
        <is>
          <t>Nut Butter</t>
        </is>
      </c>
      <c r="G180" s="22" t="n">
        <v>7309</v>
      </c>
      <c r="H180" s="23" t="n">
        <v>52.26</v>
      </c>
      <c r="I180" s="23" t="n">
        <v>381968.34</v>
      </c>
      <c r="J180" s="23" t="n">
        <v>280665.6</v>
      </c>
      <c r="K180">
        <f>IF(OR(COUNTIF($A$5:A180,A180)&gt;1,G180&lt;0,C180="",B180&lt;'Work 1'!$C$6,B180&gt;'Work 1'!$C$7,H180&gt;'Work 1'!$C$8*AVERAGEIF($F$5:$F$1014,F180,$H$5:$H$1014)),"Excl",IF(B180&gt;='Work 1'!$C$5,"LTM","Prior"))</f>
        <v/>
      </c>
      <c r="L180">
        <f>I180-J180</f>
        <v/>
      </c>
    </row>
    <row r="181" ht="14.25" customHeight="1" s="54">
      <c r="A181" s="20" t="inlineStr">
        <is>
          <t>BH-40175</t>
        </is>
      </c>
      <c r="B181" s="21" t="n">
        <v>45597</v>
      </c>
      <c r="C181" s="20" t="inlineStr">
        <is>
          <t>C01</t>
        </is>
      </c>
      <c r="D181" s="20" t="inlineStr">
        <is>
          <t>Northfield Markets</t>
        </is>
      </c>
      <c r="E181" s="20" t="inlineStr">
        <is>
          <t>Grocery</t>
        </is>
      </c>
      <c r="F181" s="20" t="inlineStr">
        <is>
          <t>Snack Bars</t>
        </is>
      </c>
      <c r="G181" s="22" t="n">
        <v>10128</v>
      </c>
      <c r="H181" s="23" t="n">
        <v>30.46</v>
      </c>
      <c r="I181" s="23" t="n">
        <v>308498.88</v>
      </c>
      <c r="J181" s="23" t="n">
        <v>200534.4</v>
      </c>
      <c r="K181">
        <f>IF(OR(COUNTIF($A$5:A181,A181)&gt;1,G181&lt;0,C181="",B181&lt;'Work 1'!$C$6,B181&gt;'Work 1'!$C$7,H181&gt;'Work 1'!$C$8*AVERAGEIF($F$5:$F$1014,F181,$H$5:$H$1014)),"Excl",IF(B181&gt;='Work 1'!$C$5,"LTM","Prior"))</f>
        <v/>
      </c>
      <c r="L181">
        <f>I181-J181</f>
        <v/>
      </c>
    </row>
    <row r="182" ht="14.25" customHeight="1" s="54">
      <c r="A182" s="20" t="inlineStr">
        <is>
          <t>BH-40176</t>
        </is>
      </c>
      <c r="B182" s="21" t="n">
        <v>45597</v>
      </c>
      <c r="C182" s="20" t="inlineStr">
        <is>
          <t>C02</t>
        </is>
      </c>
      <c r="D182" s="20" t="inlineStr">
        <is>
          <t>Crestline Grocers</t>
        </is>
      </c>
      <c r="E182" s="20" t="inlineStr">
        <is>
          <t>Grocery</t>
        </is>
      </c>
      <c r="F182" s="20" t="inlineStr">
        <is>
          <t>Granola</t>
        </is>
      </c>
      <c r="G182" s="22" t="n">
        <v>4108</v>
      </c>
      <c r="H182" s="23" t="n">
        <v>40.55</v>
      </c>
      <c r="I182" s="23" t="n">
        <v>166579.4</v>
      </c>
      <c r="J182" s="23" t="n">
        <v>107218.8</v>
      </c>
      <c r="K182">
        <f>IF(OR(COUNTIF($A$5:A182,A182)&gt;1,G182&lt;0,C182="",B182&lt;'Work 1'!$C$6,B182&gt;'Work 1'!$C$7,H182&gt;'Work 1'!$C$8*AVERAGEIF($F$5:$F$1014,F182,$H$5:$H$1014)),"Excl",IF(B182&gt;='Work 1'!$C$5,"LTM","Prior"))</f>
        <v/>
      </c>
      <c r="L182">
        <f>I182-J182</f>
        <v/>
      </c>
    </row>
    <row r="183" ht="14.25" customHeight="1" s="54">
      <c r="A183" s="20" t="inlineStr">
        <is>
          <t>BH-40177</t>
        </is>
      </c>
      <c r="B183" s="21" t="n">
        <v>45597</v>
      </c>
      <c r="C183" s="20" t="inlineStr">
        <is>
          <t>C02</t>
        </is>
      </c>
      <c r="D183" s="20" t="inlineStr">
        <is>
          <t>Crestline Grocers</t>
        </is>
      </c>
      <c r="E183" s="20" t="inlineStr">
        <is>
          <t>Grocery</t>
        </is>
      </c>
      <c r="F183" s="20" t="inlineStr">
        <is>
          <t>Nut Butter</t>
        </is>
      </c>
      <c r="G183" s="22" t="n">
        <v>2229</v>
      </c>
      <c r="H183" s="23" t="n">
        <v>53.93</v>
      </c>
      <c r="I183" s="23" t="n">
        <v>120209.97</v>
      </c>
      <c r="J183" s="23" t="n">
        <v>85593.60000000001</v>
      </c>
      <c r="K183">
        <f>IF(OR(COUNTIF($A$5:A183,A183)&gt;1,G183&lt;0,C183="",B183&lt;'Work 1'!$C$6,B183&gt;'Work 1'!$C$7,H183&gt;'Work 1'!$C$8*AVERAGEIF($F$5:$F$1014,F183,$H$5:$H$1014)),"Excl",IF(B183&gt;='Work 1'!$C$5,"LTM","Prior"))</f>
        <v/>
      </c>
      <c r="L183">
        <f>I183-J183</f>
        <v/>
      </c>
    </row>
    <row r="184" ht="14.25" customHeight="1" s="54">
      <c r="A184" s="20" t="inlineStr">
        <is>
          <t>BH-40178</t>
        </is>
      </c>
      <c r="B184" s="21" t="n">
        <v>45597</v>
      </c>
      <c r="C184" s="20" t="inlineStr">
        <is>
          <t>C02</t>
        </is>
      </c>
      <c r="D184" s="20" t="inlineStr">
        <is>
          <t>Crestline Grocers</t>
        </is>
      </c>
      <c r="E184" s="20" t="inlineStr">
        <is>
          <t>Grocery</t>
        </is>
      </c>
      <c r="F184" s="20" t="inlineStr">
        <is>
          <t>Snack Bars</t>
        </is>
      </c>
      <c r="G184" s="22" t="n">
        <v>3720</v>
      </c>
      <c r="H184" s="23" t="n">
        <v>31.43</v>
      </c>
      <c r="I184" s="23" t="n">
        <v>116919.6</v>
      </c>
      <c r="J184" s="23" t="n">
        <v>73656</v>
      </c>
      <c r="K184">
        <f>IF(OR(COUNTIF($A$5:A184,A184)&gt;1,G184&lt;0,C184="",B184&lt;'Work 1'!$C$6,B184&gt;'Work 1'!$C$7,H184&gt;'Work 1'!$C$8*AVERAGEIF($F$5:$F$1014,F184,$H$5:$H$1014)),"Excl",IF(B184&gt;='Work 1'!$C$5,"LTM","Prior"))</f>
        <v/>
      </c>
      <c r="L184">
        <f>I184-J184</f>
        <v/>
      </c>
    </row>
    <row r="185" ht="14.25" customHeight="1" s="54">
      <c r="A185" s="20" t="inlineStr">
        <is>
          <t>BH-40179</t>
        </is>
      </c>
      <c r="B185" s="21" t="n">
        <v>45597</v>
      </c>
      <c r="C185" s="20" t="inlineStr">
        <is>
          <t>C03</t>
        </is>
      </c>
      <c r="D185" s="20" t="inlineStr">
        <is>
          <t>ValuClub Warehouse</t>
        </is>
      </c>
      <c r="E185" s="20" t="inlineStr">
        <is>
          <t>Club</t>
        </is>
      </c>
      <c r="F185" s="20" t="inlineStr">
        <is>
          <t>Granola</t>
        </is>
      </c>
      <c r="G185" s="22" t="n">
        <v>13255</v>
      </c>
      <c r="H185" s="23" t="n">
        <v>35.9</v>
      </c>
      <c r="I185" s="23" t="n">
        <v>475854.5</v>
      </c>
      <c r="J185" s="23" t="n">
        <v>345955.5</v>
      </c>
      <c r="K185">
        <f>IF(OR(COUNTIF($A$5:A185,A185)&gt;1,G185&lt;0,C185="",B185&lt;'Work 1'!$C$6,B185&gt;'Work 1'!$C$7,H185&gt;'Work 1'!$C$8*AVERAGEIF($F$5:$F$1014,F185,$H$5:$H$1014)),"Excl",IF(B185&gt;='Work 1'!$C$5,"LTM","Prior"))</f>
        <v/>
      </c>
      <c r="L185">
        <f>I185-J185</f>
        <v/>
      </c>
    </row>
    <row r="186" ht="14.25" customHeight="1" s="54">
      <c r="A186" s="20" t="inlineStr">
        <is>
          <t>BH-40180</t>
        </is>
      </c>
      <c r="B186" s="21" t="n">
        <v>45597</v>
      </c>
      <c r="C186" s="20" t="inlineStr">
        <is>
          <t>C03</t>
        </is>
      </c>
      <c r="D186" s="20" t="inlineStr">
        <is>
          <t>ValuClub Warehouse</t>
        </is>
      </c>
      <c r="E186" s="20" t="inlineStr">
        <is>
          <t>Club</t>
        </is>
      </c>
      <c r="F186" s="20" t="inlineStr">
        <is>
          <t>Snack Bars</t>
        </is>
      </c>
      <c r="G186" s="22" t="n">
        <v>13390</v>
      </c>
      <c r="H186" s="23" t="n">
        <v>27.4</v>
      </c>
      <c r="I186" s="23" t="n">
        <v>366886</v>
      </c>
      <c r="J186" s="23" t="n">
        <v>265122</v>
      </c>
      <c r="K186">
        <f>IF(OR(COUNTIF($A$5:A186,A186)&gt;1,G186&lt;0,C186="",B186&lt;'Work 1'!$C$6,B186&gt;'Work 1'!$C$7,H186&gt;'Work 1'!$C$8*AVERAGEIF($F$5:$F$1014,F186,$H$5:$H$1014)),"Excl",IF(B186&gt;='Work 1'!$C$5,"LTM","Prior"))</f>
        <v/>
      </c>
      <c r="L186">
        <f>I186-J186</f>
        <v/>
      </c>
    </row>
    <row r="187" ht="14.25" customHeight="1" s="54">
      <c r="A187" s="20" t="inlineStr">
        <is>
          <t>BH-40181</t>
        </is>
      </c>
      <c r="B187" s="21" t="n">
        <v>45597</v>
      </c>
      <c r="C187" s="20" t="inlineStr">
        <is>
          <t>C04</t>
        </is>
      </c>
      <c r="D187" s="20" t="inlineStr">
        <is>
          <t>Harvest Lane Co-op</t>
        </is>
      </c>
      <c r="E187" s="20" t="inlineStr">
        <is>
          <t>Grocery</t>
        </is>
      </c>
      <c r="F187" s="20" t="inlineStr">
        <is>
          <t>Granola</t>
        </is>
      </c>
      <c r="G187" s="22" t="n">
        <v>3068</v>
      </c>
      <c r="H187" s="23" t="n">
        <v>41.8</v>
      </c>
      <c r="I187" s="23" t="n">
        <v>128242.4</v>
      </c>
      <c r="J187" s="23" t="n">
        <v>80074.8</v>
      </c>
      <c r="K187">
        <f>IF(OR(COUNTIF($A$5:A187,A187)&gt;1,G187&lt;0,C187="",B187&lt;'Work 1'!$C$6,B187&gt;'Work 1'!$C$7,H187&gt;'Work 1'!$C$8*AVERAGEIF($F$5:$F$1014,F187,$H$5:$H$1014)),"Excl",IF(B187&gt;='Work 1'!$C$5,"LTM","Prior"))</f>
        <v/>
      </c>
      <c r="L187">
        <f>I187-J187</f>
        <v/>
      </c>
    </row>
    <row r="188" ht="14.25" customHeight="1" s="54">
      <c r="A188" s="20" t="inlineStr">
        <is>
          <t>BH-40182</t>
        </is>
      </c>
      <c r="B188" s="21" t="n">
        <v>45597</v>
      </c>
      <c r="C188" s="20" t="inlineStr">
        <is>
          <t>C04</t>
        </is>
      </c>
      <c r="D188" s="20" t="inlineStr">
        <is>
          <t>Harvest Lane Co-op</t>
        </is>
      </c>
      <c r="E188" s="20" t="inlineStr">
        <is>
          <t>Grocery</t>
        </is>
      </c>
      <c r="F188" s="20" t="inlineStr">
        <is>
          <t>Nut Butter</t>
        </is>
      </c>
      <c r="G188" s="22" t="n">
        <v>1568</v>
      </c>
      <c r="H188" s="23" t="n">
        <v>55.6</v>
      </c>
      <c r="I188" s="23" t="n">
        <v>87180.8</v>
      </c>
      <c r="J188" s="23" t="n">
        <v>60211.2</v>
      </c>
      <c r="K188">
        <f>IF(OR(COUNTIF($A$5:A188,A188)&gt;1,G188&lt;0,C188="",B188&lt;'Work 1'!$C$6,B188&gt;'Work 1'!$C$7,H188&gt;'Work 1'!$C$8*AVERAGEIF($F$5:$F$1014,F188,$H$5:$H$1014)),"Excl",IF(B188&gt;='Work 1'!$C$5,"LTM","Prior"))</f>
        <v/>
      </c>
      <c r="L188">
        <f>I188-J188</f>
        <v/>
      </c>
    </row>
    <row r="189" ht="14.25" customHeight="1" s="54">
      <c r="A189" s="20" t="inlineStr">
        <is>
          <t>BH-40183</t>
        </is>
      </c>
      <c r="B189" s="21" t="n">
        <v>45597</v>
      </c>
      <c r="C189" s="20" t="inlineStr">
        <is>
          <t>C04</t>
        </is>
      </c>
      <c r="D189" s="20" t="inlineStr">
        <is>
          <t>Harvest Lane Co-op</t>
        </is>
      </c>
      <c r="E189" s="20" t="inlineStr">
        <is>
          <t>Grocery</t>
        </is>
      </c>
      <c r="F189" s="20" t="inlineStr">
        <is>
          <t>Snack Bars</t>
        </is>
      </c>
      <c r="G189" s="22" t="n">
        <v>1921</v>
      </c>
      <c r="H189" s="23" t="n">
        <v>32.4</v>
      </c>
      <c r="I189" s="23" t="n">
        <v>62240.4</v>
      </c>
      <c r="J189" s="23" t="n">
        <v>38035.8</v>
      </c>
      <c r="K189">
        <f>IF(OR(COUNTIF($A$5:A189,A189)&gt;1,G189&lt;0,C189="",B189&lt;'Work 1'!$C$6,B189&gt;'Work 1'!$C$7,H189&gt;'Work 1'!$C$8*AVERAGEIF($F$5:$F$1014,F189,$H$5:$H$1014)),"Excl",IF(B189&gt;='Work 1'!$C$5,"LTM","Prior"))</f>
        <v/>
      </c>
      <c r="L189">
        <f>I189-J189</f>
        <v/>
      </c>
    </row>
    <row r="190" ht="14.25" customHeight="1" s="54">
      <c r="A190" s="20" t="inlineStr">
        <is>
          <t>BH-40184</t>
        </is>
      </c>
      <c r="B190" s="21" t="n">
        <v>45597</v>
      </c>
      <c r="C190" s="20" t="inlineStr">
        <is>
          <t>C05</t>
        </is>
      </c>
      <c r="D190" s="20" t="inlineStr">
        <is>
          <t>Pioneer Foods Distribution</t>
        </is>
      </c>
      <c r="E190" s="20" t="inlineStr">
        <is>
          <t>Grocery</t>
        </is>
      </c>
      <c r="F190" s="20" t="inlineStr">
        <is>
          <t>Granola</t>
        </is>
      </c>
      <c r="G190" s="22" t="n">
        <v>3746</v>
      </c>
      <c r="H190" s="23" t="n">
        <v>37.62</v>
      </c>
      <c r="I190" s="23" t="n">
        <v>140924.52</v>
      </c>
      <c r="J190" s="23" t="n">
        <v>97770.60000000001</v>
      </c>
      <c r="K190">
        <f>IF(OR(COUNTIF($A$5:A190,A190)&gt;1,G190&lt;0,C190="",B190&lt;'Work 1'!$C$6,B190&gt;'Work 1'!$C$7,H190&gt;'Work 1'!$C$8*AVERAGEIF($F$5:$F$1014,F190,$H$5:$H$1014)),"Excl",IF(B190&gt;='Work 1'!$C$5,"LTM","Prior"))</f>
        <v/>
      </c>
      <c r="L190">
        <f>I190-J190</f>
        <v/>
      </c>
    </row>
    <row r="191" ht="14.25" customHeight="1" s="54">
      <c r="A191" s="20" t="inlineStr">
        <is>
          <t>BH-40185</t>
        </is>
      </c>
      <c r="B191" s="21" t="n">
        <v>45597</v>
      </c>
      <c r="C191" s="20" t="inlineStr">
        <is>
          <t>C05</t>
        </is>
      </c>
      <c r="D191" s="20" t="inlineStr">
        <is>
          <t>Pioneer Foods Distribution</t>
        </is>
      </c>
      <c r="E191" s="20" t="inlineStr">
        <is>
          <t>Grocery</t>
        </is>
      </c>
      <c r="F191" s="20" t="inlineStr">
        <is>
          <t>Nut Butter</t>
        </is>
      </c>
      <c r="G191" s="22" t="n">
        <v>2216</v>
      </c>
      <c r="H191" s="23" t="n">
        <v>50.04</v>
      </c>
      <c r="I191" s="23" t="n">
        <v>110888.64</v>
      </c>
      <c r="J191" s="23" t="n">
        <v>85094.39999999999</v>
      </c>
      <c r="K191">
        <f>IF(OR(COUNTIF($A$5:A191,A191)&gt;1,G191&lt;0,C191="",B191&lt;'Work 1'!$C$6,B191&gt;'Work 1'!$C$7,H191&gt;'Work 1'!$C$8*AVERAGEIF($F$5:$F$1014,F191,$H$5:$H$1014)),"Excl",IF(B191&gt;='Work 1'!$C$5,"LTM","Prior"))</f>
        <v/>
      </c>
      <c r="L191">
        <f>I191-J191</f>
        <v/>
      </c>
    </row>
    <row r="192" ht="14.25" customHeight="1" s="54">
      <c r="A192" s="20" t="inlineStr">
        <is>
          <t>BH-40186</t>
        </is>
      </c>
      <c r="B192" s="21" t="n">
        <v>45597</v>
      </c>
      <c r="C192" s="20" t="inlineStr">
        <is>
          <t>C05</t>
        </is>
      </c>
      <c r="D192" s="20" t="inlineStr">
        <is>
          <t>Pioneer Foods Distribution</t>
        </is>
      </c>
      <c r="E192" s="20" t="inlineStr">
        <is>
          <t>Grocery</t>
        </is>
      </c>
      <c r="F192" s="20" t="inlineStr">
        <is>
          <t>Snack Bars</t>
        </is>
      </c>
      <c r="G192" s="22" t="n">
        <v>3363</v>
      </c>
      <c r="H192" s="23" t="n">
        <v>29.16</v>
      </c>
      <c r="I192" s="23" t="n">
        <v>98065.08</v>
      </c>
      <c r="J192" s="23" t="n">
        <v>66587.39999999999</v>
      </c>
      <c r="K192">
        <f>IF(OR(COUNTIF($A$5:A192,A192)&gt;1,G192&lt;0,C192="",B192&lt;'Work 1'!$C$6,B192&gt;'Work 1'!$C$7,H192&gt;'Work 1'!$C$8*AVERAGEIF($F$5:$F$1014,F192,$H$5:$H$1014)),"Excl",IF(B192&gt;='Work 1'!$C$5,"LTM","Prior"))</f>
        <v/>
      </c>
      <c r="L192">
        <f>I192-J192</f>
        <v/>
      </c>
    </row>
    <row r="193" ht="14.25" customHeight="1" s="54">
      <c r="A193" s="20" t="inlineStr">
        <is>
          <t>BH-40187</t>
        </is>
      </c>
      <c r="B193" s="21" t="n">
        <v>45597</v>
      </c>
      <c r="C193" s="20" t="inlineStr">
        <is>
          <t>C06</t>
        </is>
      </c>
      <c r="D193" s="20" t="inlineStr">
        <is>
          <t>Summit Club Stores</t>
        </is>
      </c>
      <c r="E193" s="20" t="inlineStr">
        <is>
          <t>Club</t>
        </is>
      </c>
      <c r="F193" s="20" t="inlineStr">
        <is>
          <t>Granola</t>
        </is>
      </c>
      <c r="G193" s="22" t="n">
        <v>5143</v>
      </c>
      <c r="H193" s="23" t="n">
        <v>35.9</v>
      </c>
      <c r="I193" s="23" t="n">
        <v>184633.7</v>
      </c>
      <c r="J193" s="23" t="n">
        <v>134232.3</v>
      </c>
      <c r="K193">
        <f>IF(OR(COUNTIF($A$5:A193,A193)&gt;1,G193&lt;0,C193="",B193&lt;'Work 1'!$C$6,B193&gt;'Work 1'!$C$7,H193&gt;'Work 1'!$C$8*AVERAGEIF($F$5:$F$1014,F193,$H$5:$H$1014)),"Excl",IF(B193&gt;='Work 1'!$C$5,"LTM","Prior"))</f>
        <v/>
      </c>
      <c r="L193">
        <f>I193-J193</f>
        <v/>
      </c>
    </row>
    <row r="194" ht="14.25" customHeight="1" s="54">
      <c r="A194" s="20" t="inlineStr">
        <is>
          <t>BH-40188</t>
        </is>
      </c>
      <c r="B194" s="21" t="n">
        <v>45597</v>
      </c>
      <c r="C194" s="20" t="inlineStr">
        <is>
          <t>C06</t>
        </is>
      </c>
      <c r="D194" s="20" t="inlineStr">
        <is>
          <t>Summit Club Stores</t>
        </is>
      </c>
      <c r="E194" s="20" t="inlineStr">
        <is>
          <t>Club</t>
        </is>
      </c>
      <c r="F194" s="20" t="inlineStr">
        <is>
          <t>Nut Butter</t>
        </is>
      </c>
      <c r="G194" s="22" t="n">
        <v>2731</v>
      </c>
      <c r="H194" s="23" t="n">
        <v>47.8</v>
      </c>
      <c r="I194" s="23" t="n">
        <v>130541.8</v>
      </c>
      <c r="J194" s="23" t="n">
        <v>104870.4</v>
      </c>
      <c r="K194">
        <f>IF(OR(COUNTIF($A$5:A194,A194)&gt;1,G194&lt;0,C194="",B194&lt;'Work 1'!$C$6,B194&gt;'Work 1'!$C$7,H194&gt;'Work 1'!$C$8*AVERAGEIF($F$5:$F$1014,F194,$H$5:$H$1014)),"Excl",IF(B194&gt;='Work 1'!$C$5,"LTM","Prior"))</f>
        <v/>
      </c>
      <c r="L194">
        <f>I194-J194</f>
        <v/>
      </c>
    </row>
    <row r="195" ht="14.25" customHeight="1" s="54">
      <c r="A195" s="20" t="inlineStr">
        <is>
          <t>BH-40189</t>
        </is>
      </c>
      <c r="B195" s="21" t="n">
        <v>45597</v>
      </c>
      <c r="C195" s="20" t="inlineStr">
        <is>
          <t>C07</t>
        </is>
      </c>
      <c r="D195" s="20" t="inlineStr">
        <is>
          <t>Bramble Hill Online Store</t>
        </is>
      </c>
      <c r="E195" s="20" t="inlineStr">
        <is>
          <t>Online</t>
        </is>
      </c>
      <c r="F195" s="20" t="inlineStr">
        <is>
          <t>Granola</t>
        </is>
      </c>
      <c r="G195" s="22" t="n">
        <v>3551</v>
      </c>
      <c r="H195" s="23" t="n">
        <v>47.5</v>
      </c>
      <c r="I195" s="23" t="n">
        <v>168672.5</v>
      </c>
      <c r="J195" s="23" t="n">
        <v>92681.10000000001</v>
      </c>
      <c r="K195">
        <f>IF(OR(COUNTIF($A$5:A195,A195)&gt;1,G195&lt;0,C195="",B195&lt;'Work 1'!$C$6,B195&gt;'Work 1'!$C$7,H195&gt;'Work 1'!$C$8*AVERAGEIF($F$5:$F$1014,F195,$H$5:$H$1014)),"Excl",IF(B195&gt;='Work 1'!$C$5,"LTM","Prior"))</f>
        <v/>
      </c>
      <c r="L195">
        <f>I195-J195</f>
        <v/>
      </c>
    </row>
    <row r="196" ht="14.25" customHeight="1" s="54">
      <c r="A196" s="20" t="inlineStr">
        <is>
          <t>BH-40190</t>
        </is>
      </c>
      <c r="B196" s="21" t="n">
        <v>45597</v>
      </c>
      <c r="C196" s="20" t="inlineStr">
        <is>
          <t>C07</t>
        </is>
      </c>
      <c r="D196" s="20" t="inlineStr">
        <is>
          <t>Bramble Hill Online Store</t>
        </is>
      </c>
      <c r="E196" s="20" t="inlineStr">
        <is>
          <t>Online</t>
        </is>
      </c>
      <c r="F196" s="20" t="inlineStr">
        <is>
          <t>Nut Butter</t>
        </is>
      </c>
      <c r="G196" s="22" t="n">
        <v>2029</v>
      </c>
      <c r="H196" s="23" t="n">
        <v>61.9</v>
      </c>
      <c r="I196" s="23" t="n">
        <v>125595.1</v>
      </c>
      <c r="J196" s="23" t="n">
        <v>77913.60000000001</v>
      </c>
      <c r="K196">
        <f>IF(OR(COUNTIF($A$5:A196,A196)&gt;1,G196&lt;0,C196="",B196&lt;'Work 1'!$C$6,B196&gt;'Work 1'!$C$7,H196&gt;'Work 1'!$C$8*AVERAGEIF($F$5:$F$1014,F196,$H$5:$H$1014)),"Excl",IF(B196&gt;='Work 1'!$C$5,"LTM","Prior"))</f>
        <v/>
      </c>
      <c r="L196">
        <f>I196-J196</f>
        <v/>
      </c>
    </row>
    <row r="197" ht="14.25" customHeight="1" s="54">
      <c r="A197" s="20" t="inlineStr">
        <is>
          <t>BH-40191</t>
        </is>
      </c>
      <c r="B197" s="21" t="n">
        <v>45597</v>
      </c>
      <c r="C197" s="20" t="inlineStr">
        <is>
          <t>C07</t>
        </is>
      </c>
      <c r="D197" s="20" t="inlineStr">
        <is>
          <t>Bramble Hill Online Store</t>
        </is>
      </c>
      <c r="E197" s="20" t="inlineStr">
        <is>
          <t>Online</t>
        </is>
      </c>
      <c r="F197" s="20" t="inlineStr">
        <is>
          <t>Snack Bars</t>
        </is>
      </c>
      <c r="G197" s="22" t="n">
        <v>2568</v>
      </c>
      <c r="H197" s="23" t="n">
        <v>37.8</v>
      </c>
      <c r="I197" s="23" t="n">
        <v>97070.39999999999</v>
      </c>
      <c r="J197" s="23" t="n">
        <v>50846.4</v>
      </c>
      <c r="K197">
        <f>IF(OR(COUNTIF($A$5:A197,A197)&gt;1,G197&lt;0,C197="",B197&lt;'Work 1'!$C$6,B197&gt;'Work 1'!$C$7,H197&gt;'Work 1'!$C$8*AVERAGEIF($F$5:$F$1014,F197,$H$5:$H$1014)),"Excl",IF(B197&gt;='Work 1'!$C$5,"LTM","Prior"))</f>
        <v/>
      </c>
      <c r="L197">
        <f>I197-J197</f>
        <v/>
      </c>
    </row>
    <row r="198" ht="14.25" customHeight="1" s="54">
      <c r="A198" s="20" t="inlineStr">
        <is>
          <t>BH-40192</t>
        </is>
      </c>
      <c r="B198" s="21" t="n">
        <v>45597</v>
      </c>
      <c r="C198" s="20" t="inlineStr">
        <is>
          <t>C08</t>
        </is>
      </c>
      <c r="D198" s="20" t="inlineStr">
        <is>
          <t>Online Marketplace</t>
        </is>
      </c>
      <c r="E198" s="20" t="inlineStr">
        <is>
          <t>Online</t>
        </is>
      </c>
      <c r="F198" s="20" t="inlineStr">
        <is>
          <t>Granola</t>
        </is>
      </c>
      <c r="G198" s="22" t="n">
        <v>3511</v>
      </c>
      <c r="H198" s="23" t="n">
        <v>41.8</v>
      </c>
      <c r="I198" s="23" t="n">
        <v>146759.8</v>
      </c>
      <c r="J198" s="23" t="n">
        <v>91637.10000000001</v>
      </c>
      <c r="K198">
        <f>IF(OR(COUNTIF($A$5:A198,A198)&gt;1,G198&lt;0,C198="",B198&lt;'Work 1'!$C$6,B198&gt;'Work 1'!$C$7,H198&gt;'Work 1'!$C$8*AVERAGEIF($F$5:$F$1014,F198,$H$5:$H$1014)),"Excl",IF(B198&gt;='Work 1'!$C$5,"LTM","Prior"))</f>
        <v/>
      </c>
      <c r="L198">
        <f>I198-J198</f>
        <v/>
      </c>
    </row>
    <row r="199" ht="14.25" customHeight="1" s="54">
      <c r="A199" s="20" t="inlineStr">
        <is>
          <t>BH-40193</t>
        </is>
      </c>
      <c r="B199" s="21" t="n">
        <v>45597</v>
      </c>
      <c r="C199" s="20" t="inlineStr">
        <is>
          <t>C08</t>
        </is>
      </c>
      <c r="D199" s="20" t="inlineStr">
        <is>
          <t>Online Marketplace</t>
        </is>
      </c>
      <c r="E199" s="20" t="inlineStr">
        <is>
          <t>Online</t>
        </is>
      </c>
      <c r="F199" s="20" t="inlineStr">
        <is>
          <t>Nut Butter</t>
        </is>
      </c>
      <c r="G199" s="22" t="n">
        <v>1747</v>
      </c>
      <c r="H199" s="23" t="n">
        <v>54.47</v>
      </c>
      <c r="I199" s="23" t="n">
        <v>95159.09</v>
      </c>
      <c r="J199" s="23" t="n">
        <v>67084.8</v>
      </c>
      <c r="K199">
        <f>IF(OR(COUNTIF($A$5:A199,A199)&gt;1,G199&lt;0,C199="",B199&lt;'Work 1'!$C$6,B199&gt;'Work 1'!$C$7,H199&gt;'Work 1'!$C$8*AVERAGEIF($F$5:$F$1014,F199,$H$5:$H$1014)),"Excl",IF(B199&gt;='Work 1'!$C$5,"LTM","Prior"))</f>
        <v/>
      </c>
      <c r="L199">
        <f>I199-J199</f>
        <v/>
      </c>
    </row>
    <row r="200" ht="14.25" customHeight="1" s="54">
      <c r="A200" s="20" t="inlineStr">
        <is>
          <t>BH-40194</t>
        </is>
      </c>
      <c r="B200" s="21" t="n">
        <v>45597</v>
      </c>
      <c r="C200" s="20" t="inlineStr">
        <is>
          <t>C08</t>
        </is>
      </c>
      <c r="D200" s="20" t="inlineStr">
        <is>
          <t>Online Marketplace</t>
        </is>
      </c>
      <c r="E200" s="20" t="inlineStr">
        <is>
          <t>Online</t>
        </is>
      </c>
      <c r="F200" s="20" t="inlineStr">
        <is>
          <t>Snack Bars</t>
        </is>
      </c>
      <c r="G200" s="22" t="n">
        <v>2881</v>
      </c>
      <c r="H200" s="23" t="n">
        <v>33.26</v>
      </c>
      <c r="I200" s="23" t="n">
        <v>95822.06</v>
      </c>
      <c r="J200" s="23" t="n">
        <v>57043.8</v>
      </c>
      <c r="K200">
        <f>IF(OR(COUNTIF($A$5:A200,A200)&gt;1,G200&lt;0,C200="",B200&lt;'Work 1'!$C$6,B200&gt;'Work 1'!$C$7,H200&gt;'Work 1'!$C$8*AVERAGEIF($F$5:$F$1014,F200,$H$5:$H$1014)),"Excl",IF(B200&gt;='Work 1'!$C$5,"LTM","Prior"))</f>
        <v/>
      </c>
      <c r="L200">
        <f>I200-J200</f>
        <v/>
      </c>
    </row>
    <row r="201" ht="14.25" customHeight="1" s="54">
      <c r="A201" s="20" t="inlineStr">
        <is>
          <t>BH-40195</t>
        </is>
      </c>
      <c r="B201" s="21" t="n">
        <v>45597</v>
      </c>
      <c r="C201" s="20" t="inlineStr">
        <is>
          <t>C09</t>
        </is>
      </c>
      <c r="D201" s="20" t="inlineStr">
        <is>
          <t>Maple Ridge Grocers</t>
        </is>
      </c>
      <c r="E201" s="20" t="inlineStr">
        <is>
          <t>Grocery</t>
        </is>
      </c>
      <c r="F201" s="20" t="inlineStr">
        <is>
          <t>Granola</t>
        </is>
      </c>
      <c r="G201" s="22" t="n">
        <v>1684</v>
      </c>
      <c r="H201" s="23" t="n">
        <v>41.8</v>
      </c>
      <c r="I201" s="23" t="n">
        <v>70391.2</v>
      </c>
      <c r="J201" s="23" t="n">
        <v>43952.4</v>
      </c>
      <c r="K201">
        <f>IF(OR(COUNTIF($A$5:A201,A201)&gt;1,G201&lt;0,C201="",B201&lt;'Work 1'!$C$6,B201&gt;'Work 1'!$C$7,H201&gt;'Work 1'!$C$8*AVERAGEIF($F$5:$F$1014,F201,$H$5:$H$1014)),"Excl",IF(B201&gt;='Work 1'!$C$5,"LTM","Prior"))</f>
        <v/>
      </c>
      <c r="L201">
        <f>I201-J201</f>
        <v/>
      </c>
    </row>
    <row r="202" ht="14.25" customHeight="1" s="54">
      <c r="A202" s="20" t="inlineStr">
        <is>
          <t>BH-40196</t>
        </is>
      </c>
      <c r="B202" s="21" t="n">
        <v>45597</v>
      </c>
      <c r="C202" s="20" t="inlineStr">
        <is>
          <t>C09</t>
        </is>
      </c>
      <c r="D202" s="20" t="inlineStr">
        <is>
          <t>Maple Ridge Grocers</t>
        </is>
      </c>
      <c r="E202" s="20" t="inlineStr">
        <is>
          <t>Grocery</t>
        </is>
      </c>
      <c r="F202" s="20" t="inlineStr">
        <is>
          <t>Snack Bars</t>
        </is>
      </c>
      <c r="G202" s="22" t="n">
        <v>1346</v>
      </c>
      <c r="H202" s="23" t="n">
        <v>32.4</v>
      </c>
      <c r="I202" s="23" t="n">
        <v>43610.4</v>
      </c>
      <c r="J202" s="23" t="n">
        <v>26650.8</v>
      </c>
      <c r="K202">
        <f>IF(OR(COUNTIF($A$5:A202,A202)&gt;1,G202&lt;0,C202="",B202&lt;'Work 1'!$C$6,B202&gt;'Work 1'!$C$7,H202&gt;'Work 1'!$C$8*AVERAGEIF($F$5:$F$1014,F202,$H$5:$H$1014)),"Excl",IF(B202&gt;='Work 1'!$C$5,"LTM","Prior"))</f>
        <v/>
      </c>
      <c r="L202">
        <f>I202-J202</f>
        <v/>
      </c>
    </row>
    <row r="203" ht="14.25" customHeight="1" s="54">
      <c r="A203" s="20" t="inlineStr">
        <is>
          <t>BH-40197</t>
        </is>
      </c>
      <c r="B203" s="21" t="n">
        <v>45597</v>
      </c>
      <c r="C203" s="20" t="inlineStr">
        <is>
          <t>C10</t>
        </is>
      </c>
      <c r="D203" s="20" t="inlineStr">
        <is>
          <t>Lakeshore Foods</t>
        </is>
      </c>
      <c r="E203" s="20" t="inlineStr">
        <is>
          <t>Grocery</t>
        </is>
      </c>
      <c r="F203" s="20" t="inlineStr">
        <is>
          <t>Granola</t>
        </is>
      </c>
      <c r="G203" s="22" t="n">
        <v>1578</v>
      </c>
      <c r="H203" s="23" t="n">
        <v>41.8</v>
      </c>
      <c r="I203" s="23" t="n">
        <v>65960.39999999999</v>
      </c>
      <c r="J203" s="23" t="n">
        <v>41185.8</v>
      </c>
      <c r="K203">
        <f>IF(OR(COUNTIF($A$5:A203,A203)&gt;1,G203&lt;0,C203="",B203&lt;'Work 1'!$C$6,B203&gt;'Work 1'!$C$7,H203&gt;'Work 1'!$C$8*AVERAGEIF($F$5:$F$1014,F203,$H$5:$H$1014)),"Excl",IF(B203&gt;='Work 1'!$C$5,"LTM","Prior"))</f>
        <v/>
      </c>
      <c r="L203">
        <f>I203-J203</f>
        <v/>
      </c>
    </row>
    <row r="204" ht="14.25" customHeight="1" s="54">
      <c r="A204" s="20" t="inlineStr">
        <is>
          <t>BH-40198</t>
        </is>
      </c>
      <c r="B204" s="21" t="n">
        <v>45597</v>
      </c>
      <c r="C204" s="20" t="inlineStr">
        <is>
          <t>C10</t>
        </is>
      </c>
      <c r="D204" s="20" t="inlineStr">
        <is>
          <t>Lakeshore Foods</t>
        </is>
      </c>
      <c r="E204" s="20" t="inlineStr">
        <is>
          <t>Grocery</t>
        </is>
      </c>
      <c r="F204" s="20" t="inlineStr">
        <is>
          <t>Nut Butter</t>
        </is>
      </c>
      <c r="G204" s="22" t="n">
        <v>666</v>
      </c>
      <c r="H204" s="23" t="n">
        <v>55.6</v>
      </c>
      <c r="I204" s="23" t="n">
        <v>37029.6</v>
      </c>
      <c r="J204" s="23" t="n">
        <v>25574.4</v>
      </c>
      <c r="K204">
        <f>IF(OR(COUNTIF($A$5:A204,A204)&gt;1,G204&lt;0,C204="",B204&lt;'Work 1'!$C$6,B204&gt;'Work 1'!$C$7,H204&gt;'Work 1'!$C$8*AVERAGEIF($F$5:$F$1014,F204,$H$5:$H$1014)),"Excl",IF(B204&gt;='Work 1'!$C$5,"LTM","Prior"))</f>
        <v/>
      </c>
      <c r="L204">
        <f>I204-J204</f>
        <v/>
      </c>
    </row>
    <row r="205" ht="14.25" customHeight="1" s="54">
      <c r="A205" s="20" t="inlineStr">
        <is>
          <t>BH-40199</t>
        </is>
      </c>
      <c r="B205" s="21" t="n">
        <v>45597</v>
      </c>
      <c r="C205" s="20" t="inlineStr">
        <is>
          <t>C11</t>
        </is>
      </c>
      <c r="D205" s="20" t="inlineStr">
        <is>
          <t>Copper Valley Market</t>
        </is>
      </c>
      <c r="E205" s="20" t="inlineStr">
        <is>
          <t>Grocery</t>
        </is>
      </c>
      <c r="F205" s="20" t="inlineStr">
        <is>
          <t>Granola</t>
        </is>
      </c>
      <c r="G205" s="22" t="n">
        <v>1289</v>
      </c>
      <c r="H205" s="23" t="n">
        <v>41.8</v>
      </c>
      <c r="I205" s="23" t="n">
        <v>53880.2</v>
      </c>
      <c r="J205" s="23" t="n">
        <v>33642.9</v>
      </c>
      <c r="K205">
        <f>IF(OR(COUNTIF($A$5:A205,A205)&gt;1,G205&lt;0,C205="",B205&lt;'Work 1'!$C$6,B205&gt;'Work 1'!$C$7,H205&gt;'Work 1'!$C$8*AVERAGEIF($F$5:$F$1014,F205,$H$5:$H$1014)),"Excl",IF(B205&gt;='Work 1'!$C$5,"LTM","Prior"))</f>
        <v/>
      </c>
      <c r="L205">
        <f>I205-J205</f>
        <v/>
      </c>
    </row>
    <row r="206" ht="14.25" customHeight="1" s="54">
      <c r="A206" s="20" t="inlineStr">
        <is>
          <t>BH-40200</t>
        </is>
      </c>
      <c r="B206" s="21" t="n">
        <v>45597</v>
      </c>
      <c r="C206" s="20" t="inlineStr">
        <is>
          <t>C11</t>
        </is>
      </c>
      <c r="D206" s="20" t="inlineStr">
        <is>
          <t>Copper Valley Market</t>
        </is>
      </c>
      <c r="E206" s="20" t="inlineStr">
        <is>
          <t>Grocery</t>
        </is>
      </c>
      <c r="F206" s="20" t="inlineStr">
        <is>
          <t>Snack Bars</t>
        </is>
      </c>
      <c r="G206" s="22" t="n">
        <v>1382</v>
      </c>
      <c r="H206" s="23" t="n">
        <v>32.4</v>
      </c>
      <c r="I206" s="23" t="n">
        <v>44776.8</v>
      </c>
      <c r="J206" s="23" t="n">
        <v>27363.6</v>
      </c>
      <c r="K206">
        <f>IF(OR(COUNTIF($A$5:A206,A206)&gt;1,G206&lt;0,C206="",B206&lt;'Work 1'!$C$6,B206&gt;'Work 1'!$C$7,H206&gt;'Work 1'!$C$8*AVERAGEIF($F$5:$F$1014,F206,$H$5:$H$1014)),"Excl",IF(B206&gt;='Work 1'!$C$5,"LTM","Prior"))</f>
        <v/>
      </c>
      <c r="L206">
        <f>I206-J206</f>
        <v/>
      </c>
    </row>
    <row r="207" ht="14.25" customHeight="1" s="54">
      <c r="A207" s="20" t="inlineStr">
        <is>
          <t>BH-40201</t>
        </is>
      </c>
      <c r="B207" s="21" t="n">
        <v>45597</v>
      </c>
      <c r="C207" s="20" t="inlineStr">
        <is>
          <t>C12</t>
        </is>
      </c>
      <c r="D207" s="20" t="inlineStr">
        <is>
          <t>Riverbend Grocery</t>
        </is>
      </c>
      <c r="E207" s="20" t="inlineStr">
        <is>
          <t>Grocery</t>
        </is>
      </c>
      <c r="F207" s="20" t="inlineStr">
        <is>
          <t>Granola</t>
        </is>
      </c>
      <c r="G207" s="22" t="n">
        <v>1987</v>
      </c>
      <c r="H207" s="23" t="n">
        <v>41.8</v>
      </c>
      <c r="I207" s="23" t="n">
        <v>83056.60000000001</v>
      </c>
      <c r="J207" s="23" t="n">
        <v>51860.7</v>
      </c>
      <c r="K207">
        <f>IF(OR(COUNTIF($A$5:A207,A207)&gt;1,G207&lt;0,C207="",B207&lt;'Work 1'!$C$6,B207&gt;'Work 1'!$C$7,H207&gt;'Work 1'!$C$8*AVERAGEIF($F$5:$F$1014,F207,$H$5:$H$1014)),"Excl",IF(B207&gt;='Work 1'!$C$5,"LTM","Prior"))</f>
        <v/>
      </c>
      <c r="L207">
        <f>I207-J207</f>
        <v/>
      </c>
    </row>
    <row r="208" ht="14.25" customHeight="1" s="54">
      <c r="A208" s="20" t="inlineStr">
        <is>
          <t>BH-40202</t>
        </is>
      </c>
      <c r="B208" s="21" t="n">
        <v>45597</v>
      </c>
      <c r="C208" s="20" t="inlineStr">
        <is>
          <t>C12</t>
        </is>
      </c>
      <c r="D208" s="20" t="inlineStr">
        <is>
          <t>Riverbend Grocery</t>
        </is>
      </c>
      <c r="E208" s="20" t="inlineStr">
        <is>
          <t>Grocery</t>
        </is>
      </c>
      <c r="F208" s="20" t="inlineStr">
        <is>
          <t>Nut Butter</t>
        </is>
      </c>
      <c r="G208" s="22" t="n">
        <v>786</v>
      </c>
      <c r="H208" s="23" t="n">
        <v>55.6</v>
      </c>
      <c r="I208" s="23" t="n">
        <v>43701.6</v>
      </c>
      <c r="J208" s="23" t="n">
        <v>30182.4</v>
      </c>
      <c r="K208">
        <f>IF(OR(COUNTIF($A$5:A208,A208)&gt;1,G208&lt;0,C208="",B208&lt;'Work 1'!$C$6,B208&gt;'Work 1'!$C$7,H208&gt;'Work 1'!$C$8*AVERAGEIF($F$5:$F$1014,F208,$H$5:$H$1014)),"Excl",IF(B208&gt;='Work 1'!$C$5,"LTM","Prior"))</f>
        <v/>
      </c>
      <c r="L208">
        <f>I208-J208</f>
        <v/>
      </c>
    </row>
    <row r="209" ht="14.25" customHeight="1" s="54">
      <c r="A209" s="20" t="inlineStr">
        <is>
          <t>BH-40203</t>
        </is>
      </c>
      <c r="B209" s="21" t="n">
        <v>45597</v>
      </c>
      <c r="C209" s="20" t="inlineStr">
        <is>
          <t>C13</t>
        </is>
      </c>
      <c r="D209" s="20" t="inlineStr">
        <is>
          <t>Sunfield Markets</t>
        </is>
      </c>
      <c r="E209" s="20" t="inlineStr">
        <is>
          <t>Grocery</t>
        </is>
      </c>
      <c r="F209" s="20" t="inlineStr">
        <is>
          <t>Granola</t>
        </is>
      </c>
      <c r="G209" s="22" t="n">
        <v>1079</v>
      </c>
      <c r="H209" s="23" t="n">
        <v>41.8</v>
      </c>
      <c r="I209" s="23" t="n">
        <v>45102.2</v>
      </c>
      <c r="J209" s="23" t="n">
        <v>28161.9</v>
      </c>
      <c r="K209">
        <f>IF(OR(COUNTIF($A$5:A209,A209)&gt;1,G209&lt;0,C209="",B209&lt;'Work 1'!$C$6,B209&gt;'Work 1'!$C$7,H209&gt;'Work 1'!$C$8*AVERAGEIF($F$5:$F$1014,F209,$H$5:$H$1014)),"Excl",IF(B209&gt;='Work 1'!$C$5,"LTM","Prior"))</f>
        <v/>
      </c>
      <c r="L209">
        <f>I209-J209</f>
        <v/>
      </c>
    </row>
    <row r="210" ht="14.25" customHeight="1" s="54">
      <c r="A210" s="20" t="inlineStr">
        <is>
          <t>BH-40204</t>
        </is>
      </c>
      <c r="B210" s="21" t="n">
        <v>45597</v>
      </c>
      <c r="C210" s="20" t="inlineStr">
        <is>
          <t>C13</t>
        </is>
      </c>
      <c r="D210" s="20" t="inlineStr">
        <is>
          <t>Sunfield Markets</t>
        </is>
      </c>
      <c r="E210" s="20" t="inlineStr">
        <is>
          <t>Grocery</t>
        </is>
      </c>
      <c r="F210" s="20" t="inlineStr">
        <is>
          <t>Snack Bars</t>
        </is>
      </c>
      <c r="G210" s="22" t="n">
        <v>1140</v>
      </c>
      <c r="H210" s="23" t="n">
        <v>32.4</v>
      </c>
      <c r="I210" s="23" t="n">
        <v>36936</v>
      </c>
      <c r="J210" s="23" t="n">
        <v>22572</v>
      </c>
      <c r="K210">
        <f>IF(OR(COUNTIF($A$5:A210,A210)&gt;1,G210&lt;0,C210="",B210&lt;'Work 1'!$C$6,B210&gt;'Work 1'!$C$7,H210&gt;'Work 1'!$C$8*AVERAGEIF($F$5:$F$1014,F210,$H$5:$H$1014)),"Excl",IF(B210&gt;='Work 1'!$C$5,"LTM","Prior"))</f>
        <v/>
      </c>
      <c r="L210">
        <f>I210-J210</f>
        <v/>
      </c>
    </row>
    <row r="211" ht="14.25" customHeight="1" s="54">
      <c r="A211" s="20" t="inlineStr">
        <is>
          <t>BH-40205</t>
        </is>
      </c>
      <c r="B211" s="21" t="n">
        <v>45597</v>
      </c>
      <c r="C211" s="20" t="inlineStr">
        <is>
          <t>C14</t>
        </is>
      </c>
      <c r="D211" s="20" t="inlineStr">
        <is>
          <t>Oak Hollow Foods</t>
        </is>
      </c>
      <c r="E211" s="20" t="inlineStr">
        <is>
          <t>Grocery</t>
        </is>
      </c>
      <c r="F211" s="20" t="inlineStr">
        <is>
          <t>Granola</t>
        </is>
      </c>
      <c r="G211" s="22" t="n">
        <v>1290</v>
      </c>
      <c r="H211" s="23" t="n">
        <v>41.8</v>
      </c>
      <c r="I211" s="23" t="n">
        <v>53922</v>
      </c>
      <c r="J211" s="23" t="n">
        <v>33669</v>
      </c>
      <c r="K211">
        <f>IF(OR(COUNTIF($A$5:A211,A211)&gt;1,G211&lt;0,C211="",B211&lt;'Work 1'!$C$6,B211&gt;'Work 1'!$C$7,H211&gt;'Work 1'!$C$8*AVERAGEIF($F$5:$F$1014,F211,$H$5:$H$1014)),"Excl",IF(B211&gt;='Work 1'!$C$5,"LTM","Prior"))</f>
        <v/>
      </c>
      <c r="L211">
        <f>I211-J211</f>
        <v/>
      </c>
    </row>
    <row r="212" ht="14.25" customHeight="1" s="54">
      <c r="A212" s="20" t="inlineStr">
        <is>
          <t>BH-40206</t>
        </is>
      </c>
      <c r="B212" s="21" t="n">
        <v>45597</v>
      </c>
      <c r="C212" s="20" t="inlineStr">
        <is>
          <t>C14</t>
        </is>
      </c>
      <c r="D212" s="20" t="inlineStr">
        <is>
          <t>Oak Hollow Foods</t>
        </is>
      </c>
      <c r="E212" s="20" t="inlineStr">
        <is>
          <t>Grocery</t>
        </is>
      </c>
      <c r="F212" s="20" t="inlineStr">
        <is>
          <t>Nut Butter</t>
        </is>
      </c>
      <c r="G212" s="22" t="n">
        <v>474</v>
      </c>
      <c r="H212" s="23" t="n">
        <v>55.6</v>
      </c>
      <c r="I212" s="23" t="n">
        <v>26354.4</v>
      </c>
      <c r="J212" s="23" t="n">
        <v>18201.6</v>
      </c>
      <c r="K212">
        <f>IF(OR(COUNTIF($A$5:A212,A212)&gt;1,G212&lt;0,C212="",B212&lt;'Work 1'!$C$6,B212&gt;'Work 1'!$C$7,H212&gt;'Work 1'!$C$8*AVERAGEIF($F$5:$F$1014,F212,$H$5:$H$1014)),"Excl",IF(B212&gt;='Work 1'!$C$5,"LTM","Prior"))</f>
        <v/>
      </c>
      <c r="L212">
        <f>I212-J212</f>
        <v/>
      </c>
    </row>
    <row r="213" ht="14.25" customHeight="1" s="54">
      <c r="A213" s="20" t="inlineStr">
        <is>
          <t>BH-40207</t>
        </is>
      </c>
      <c r="B213" s="21" t="n">
        <v>45597</v>
      </c>
      <c r="C213" s="20" t="inlineStr">
        <is>
          <t>C14</t>
        </is>
      </c>
      <c r="D213" s="20" t="inlineStr">
        <is>
          <t>Oak Hollow Foods</t>
        </is>
      </c>
      <c r="E213" s="20" t="inlineStr">
        <is>
          <t>Grocery</t>
        </is>
      </c>
      <c r="F213" s="20" t="inlineStr">
        <is>
          <t>Snack Bars</t>
        </is>
      </c>
      <c r="G213" s="22" t="n">
        <v>872</v>
      </c>
      <c r="H213" s="23" t="n">
        <v>32.4</v>
      </c>
      <c r="I213" s="23" t="n">
        <v>28252.8</v>
      </c>
      <c r="J213" s="23" t="n">
        <v>17265.6</v>
      </c>
      <c r="K213">
        <f>IF(OR(COUNTIF($A$5:A213,A213)&gt;1,G213&lt;0,C213="",B213&lt;'Work 1'!$C$6,B213&gt;'Work 1'!$C$7,H213&gt;'Work 1'!$C$8*AVERAGEIF($F$5:$F$1014,F213,$H$5:$H$1014)),"Excl",IF(B213&gt;='Work 1'!$C$5,"LTM","Prior"))</f>
        <v/>
      </c>
      <c r="L213">
        <f>I213-J213</f>
        <v/>
      </c>
    </row>
    <row r="214" ht="14.25" customHeight="1" s="54">
      <c r="A214" s="20" t="inlineStr">
        <is>
          <t>BH-40208</t>
        </is>
      </c>
      <c r="B214" s="21" t="n">
        <v>45597</v>
      </c>
      <c r="C214" s="20" t="inlineStr">
        <is>
          <t>C15</t>
        </is>
      </c>
      <c r="D214" s="20" t="inlineStr">
        <is>
          <t>Prairie Fresh</t>
        </is>
      </c>
      <c r="E214" s="20" t="inlineStr">
        <is>
          <t>Grocery</t>
        </is>
      </c>
      <c r="F214" s="20" t="inlineStr">
        <is>
          <t>Granola</t>
        </is>
      </c>
      <c r="G214" s="22" t="n">
        <v>1568</v>
      </c>
      <c r="H214" s="23" t="n">
        <v>41.8</v>
      </c>
      <c r="I214" s="23" t="n">
        <v>65542.39999999999</v>
      </c>
      <c r="J214" s="23" t="n">
        <v>40924.8</v>
      </c>
      <c r="K214">
        <f>IF(OR(COUNTIF($A$5:A214,A214)&gt;1,G214&lt;0,C214="",B214&lt;'Work 1'!$C$6,B214&gt;'Work 1'!$C$7,H214&gt;'Work 1'!$C$8*AVERAGEIF($F$5:$F$1014,F214,$H$5:$H$1014)),"Excl",IF(B214&gt;='Work 1'!$C$5,"LTM","Prior"))</f>
        <v/>
      </c>
      <c r="L214">
        <f>I214-J214</f>
        <v/>
      </c>
    </row>
    <row r="215" ht="14.25" customHeight="1" s="54">
      <c r="A215" s="20" t="inlineStr">
        <is>
          <t>BH-40209</t>
        </is>
      </c>
      <c r="B215" s="21" t="n">
        <v>45597</v>
      </c>
      <c r="C215" s="20" t="inlineStr">
        <is>
          <t>C15</t>
        </is>
      </c>
      <c r="D215" s="20" t="inlineStr">
        <is>
          <t>Prairie Fresh</t>
        </is>
      </c>
      <c r="E215" s="20" t="inlineStr">
        <is>
          <t>Grocery</t>
        </is>
      </c>
      <c r="F215" s="20" t="inlineStr">
        <is>
          <t>Snack Bars</t>
        </is>
      </c>
      <c r="G215" s="22" t="n">
        <v>1080</v>
      </c>
      <c r="H215" s="23" t="n">
        <v>32.4</v>
      </c>
      <c r="I215" s="23" t="n">
        <v>34992</v>
      </c>
      <c r="J215" s="23" t="n">
        <v>21384</v>
      </c>
      <c r="K215">
        <f>IF(OR(COUNTIF($A$5:A215,A215)&gt;1,G215&lt;0,C215="",B215&lt;'Work 1'!$C$6,B215&gt;'Work 1'!$C$7,H215&gt;'Work 1'!$C$8*AVERAGEIF($F$5:$F$1014,F215,$H$5:$H$1014)),"Excl",IF(B215&gt;='Work 1'!$C$5,"LTM","Prior"))</f>
        <v/>
      </c>
      <c r="L215">
        <f>I215-J215</f>
        <v/>
      </c>
    </row>
    <row r="216" ht="14.25" customHeight="1" s="54">
      <c r="A216" s="20" t="inlineStr">
        <is>
          <t>BH-40210</t>
        </is>
      </c>
      <c r="B216" s="21" t="n">
        <v>45597</v>
      </c>
      <c r="C216" s="20" t="inlineStr">
        <is>
          <t>C16</t>
        </is>
      </c>
      <c r="D216" s="20" t="inlineStr">
        <is>
          <t>Bay Street Market</t>
        </is>
      </c>
      <c r="E216" s="20" t="inlineStr">
        <is>
          <t>Grocery</t>
        </is>
      </c>
      <c r="F216" s="20" t="inlineStr">
        <is>
          <t>Granola</t>
        </is>
      </c>
      <c r="G216" s="22" t="n">
        <v>1095</v>
      </c>
      <c r="H216" s="23" t="n">
        <v>41.8</v>
      </c>
      <c r="I216" s="23" t="n">
        <v>45771</v>
      </c>
      <c r="J216" s="23" t="n">
        <v>28579.5</v>
      </c>
      <c r="K216">
        <f>IF(OR(COUNTIF($A$5:A216,A216)&gt;1,G216&lt;0,C216="",B216&lt;'Work 1'!$C$6,B216&gt;'Work 1'!$C$7,H216&gt;'Work 1'!$C$8*AVERAGEIF($F$5:$F$1014,F216,$H$5:$H$1014)),"Excl",IF(B216&gt;='Work 1'!$C$5,"LTM","Prior"))</f>
        <v/>
      </c>
      <c r="L216">
        <f>I216-J216</f>
        <v/>
      </c>
    </row>
    <row r="217" ht="14.25" customHeight="1" s="54">
      <c r="A217" s="20" t="inlineStr">
        <is>
          <t>BH-40211</t>
        </is>
      </c>
      <c r="B217" s="21" t="n">
        <v>45597</v>
      </c>
      <c r="C217" s="20" t="inlineStr">
        <is>
          <t>C16</t>
        </is>
      </c>
      <c r="D217" s="20" t="inlineStr">
        <is>
          <t>Bay Street Market</t>
        </is>
      </c>
      <c r="E217" s="20" t="inlineStr">
        <is>
          <t>Grocery</t>
        </is>
      </c>
      <c r="F217" s="20" t="inlineStr">
        <is>
          <t>Nut Butter</t>
        </is>
      </c>
      <c r="G217" s="22" t="n">
        <v>626</v>
      </c>
      <c r="H217" s="23" t="n">
        <v>55.6</v>
      </c>
      <c r="I217" s="23" t="n">
        <v>34805.6</v>
      </c>
      <c r="J217" s="23" t="n">
        <v>24038.4</v>
      </c>
      <c r="K217">
        <f>IF(OR(COUNTIF($A$5:A217,A217)&gt;1,G217&lt;0,C217="",B217&lt;'Work 1'!$C$6,B217&gt;'Work 1'!$C$7,H217&gt;'Work 1'!$C$8*AVERAGEIF($F$5:$F$1014,F217,$H$5:$H$1014)),"Excl",IF(B217&gt;='Work 1'!$C$5,"LTM","Prior"))</f>
        <v/>
      </c>
      <c r="L217">
        <f>I217-J217</f>
        <v/>
      </c>
    </row>
    <row r="218" ht="14.25" customHeight="1" s="54">
      <c r="A218" s="20" t="inlineStr">
        <is>
          <t>BH-40212</t>
        </is>
      </c>
      <c r="B218" s="21" t="n">
        <v>45597</v>
      </c>
      <c r="C218" s="20" t="inlineStr">
        <is>
          <t>C17</t>
        </is>
      </c>
      <c r="D218" s="20" t="inlineStr">
        <is>
          <t>Eastgate Grocers</t>
        </is>
      </c>
      <c r="E218" s="20" t="inlineStr">
        <is>
          <t>Grocery</t>
        </is>
      </c>
      <c r="F218" s="20" t="inlineStr">
        <is>
          <t>Granola</t>
        </is>
      </c>
      <c r="G218" s="22" t="n">
        <v>1545</v>
      </c>
      <c r="H218" s="23" t="n">
        <v>41.8</v>
      </c>
      <c r="I218" s="23" t="n">
        <v>64581</v>
      </c>
      <c r="J218" s="23" t="n">
        <v>40324.5</v>
      </c>
      <c r="K218">
        <f>IF(OR(COUNTIF($A$5:A218,A218)&gt;1,G218&lt;0,C218="",B218&lt;'Work 1'!$C$6,B218&gt;'Work 1'!$C$7,H218&gt;'Work 1'!$C$8*AVERAGEIF($F$5:$F$1014,F218,$H$5:$H$1014)),"Excl",IF(B218&gt;='Work 1'!$C$5,"LTM","Prior"))</f>
        <v/>
      </c>
      <c r="L218">
        <f>I218-J218</f>
        <v/>
      </c>
    </row>
    <row r="219" ht="14.25" customHeight="1" s="54">
      <c r="A219" s="20" t="inlineStr">
        <is>
          <t>BH-40213</t>
        </is>
      </c>
      <c r="B219" s="21" t="n">
        <v>45597</v>
      </c>
      <c r="C219" s="20" t="inlineStr">
        <is>
          <t>C17</t>
        </is>
      </c>
      <c r="D219" s="20" t="inlineStr">
        <is>
          <t>Eastgate Grocers</t>
        </is>
      </c>
      <c r="E219" s="20" t="inlineStr">
        <is>
          <t>Grocery</t>
        </is>
      </c>
      <c r="F219" s="20" t="inlineStr">
        <is>
          <t>Snack Bars</t>
        </is>
      </c>
      <c r="G219" s="22" t="n">
        <v>1155</v>
      </c>
      <c r="H219" s="23" t="n">
        <v>32.4</v>
      </c>
      <c r="I219" s="23" t="n">
        <v>37422</v>
      </c>
      <c r="J219" s="23" t="n">
        <v>22869</v>
      </c>
      <c r="K219">
        <f>IF(OR(COUNTIF($A$5:A219,A219)&gt;1,G219&lt;0,C219="",B219&lt;'Work 1'!$C$6,B219&gt;'Work 1'!$C$7,H219&gt;'Work 1'!$C$8*AVERAGEIF($F$5:$F$1014,F219,$H$5:$H$1014)),"Excl",IF(B219&gt;='Work 1'!$C$5,"LTM","Prior"))</f>
        <v/>
      </c>
      <c r="L219">
        <f>I219-J219</f>
        <v/>
      </c>
    </row>
    <row r="220" ht="14.25" customHeight="1" s="54">
      <c r="A220" s="20" t="inlineStr">
        <is>
          <t>BH-40214</t>
        </is>
      </c>
      <c r="B220" s="21" t="n">
        <v>45597</v>
      </c>
      <c r="C220" s="20" t="inlineStr">
        <is>
          <t>C18</t>
        </is>
      </c>
      <c r="D220" s="20" t="inlineStr">
        <is>
          <t>Hillcrest Food Co.</t>
        </is>
      </c>
      <c r="E220" s="20" t="inlineStr">
        <is>
          <t>Grocery</t>
        </is>
      </c>
      <c r="F220" s="20" t="inlineStr">
        <is>
          <t>Granola</t>
        </is>
      </c>
      <c r="G220" s="22" t="n">
        <v>1099</v>
      </c>
      <c r="H220" s="23" t="n">
        <v>41.8</v>
      </c>
      <c r="I220" s="23" t="n">
        <v>45938.2</v>
      </c>
      <c r="J220" s="23" t="n">
        <v>28683.9</v>
      </c>
      <c r="K220">
        <f>IF(OR(COUNTIF($A$5:A220,A220)&gt;1,G220&lt;0,C220="",B220&lt;'Work 1'!$C$6,B220&gt;'Work 1'!$C$7,H220&gt;'Work 1'!$C$8*AVERAGEIF($F$5:$F$1014,F220,$H$5:$H$1014)),"Excl",IF(B220&gt;='Work 1'!$C$5,"LTM","Prior"))</f>
        <v/>
      </c>
      <c r="L220">
        <f>I220-J220</f>
        <v/>
      </c>
    </row>
    <row r="221" ht="14.25" customHeight="1" s="54">
      <c r="A221" s="20" t="inlineStr">
        <is>
          <t>BH-40215</t>
        </is>
      </c>
      <c r="B221" s="21" t="n">
        <v>45597</v>
      </c>
      <c r="C221" s="20" t="inlineStr">
        <is>
          <t>C18</t>
        </is>
      </c>
      <c r="D221" s="20" t="inlineStr">
        <is>
          <t>Hillcrest Food Co.</t>
        </is>
      </c>
      <c r="E221" s="20" t="inlineStr">
        <is>
          <t>Grocery</t>
        </is>
      </c>
      <c r="F221" s="20" t="inlineStr">
        <is>
          <t>Nut Butter</t>
        </is>
      </c>
      <c r="G221" s="22" t="n">
        <v>477</v>
      </c>
      <c r="H221" s="23" t="n">
        <v>55.6</v>
      </c>
      <c r="I221" s="23" t="n">
        <v>26521.2</v>
      </c>
      <c r="J221" s="23" t="n">
        <v>18316.8</v>
      </c>
      <c r="K221">
        <f>IF(OR(COUNTIF($A$5:A221,A221)&gt;1,G221&lt;0,C221="",B221&lt;'Work 1'!$C$6,B221&gt;'Work 1'!$C$7,H221&gt;'Work 1'!$C$8*AVERAGEIF($F$5:$F$1014,F221,$H$5:$H$1014)),"Excl",IF(B221&gt;='Work 1'!$C$5,"LTM","Prior"))</f>
        <v/>
      </c>
      <c r="L221">
        <f>I221-J221</f>
        <v/>
      </c>
    </row>
    <row r="222" ht="14.25" customHeight="1" s="54">
      <c r="A222" s="20" t="inlineStr">
        <is>
          <t>BH-40216</t>
        </is>
      </c>
      <c r="B222" s="21" t="n">
        <v>45627</v>
      </c>
      <c r="C222" s="20" t="inlineStr">
        <is>
          <t>C01</t>
        </is>
      </c>
      <c r="D222" s="20" t="inlineStr">
        <is>
          <t>Northfield Markets</t>
        </is>
      </c>
      <c r="E222" s="20" t="inlineStr">
        <is>
          <t>Grocery</t>
        </is>
      </c>
      <c r="F222" s="20" t="inlineStr">
        <is>
          <t>Granola</t>
        </is>
      </c>
      <c r="G222" s="22" t="n">
        <v>14921</v>
      </c>
      <c r="H222" s="23" t="n">
        <v>39.29</v>
      </c>
      <c r="I222" s="23" t="n">
        <v>586246.09</v>
      </c>
      <c r="J222" s="23" t="n">
        <v>389438.1</v>
      </c>
      <c r="K222">
        <f>IF(OR(COUNTIF($A$5:A222,A222)&gt;1,G222&lt;0,C222="",B222&lt;'Work 1'!$C$6,B222&gt;'Work 1'!$C$7,H222&gt;'Work 1'!$C$8*AVERAGEIF($F$5:$F$1014,F222,$H$5:$H$1014)),"Excl",IF(B222&gt;='Work 1'!$C$5,"LTM","Prior"))</f>
        <v/>
      </c>
      <c r="L222">
        <f>I222-J222</f>
        <v/>
      </c>
    </row>
    <row r="223" ht="14.25" customHeight="1" s="54">
      <c r="A223" s="20" t="inlineStr">
        <is>
          <t>BH-40217</t>
        </is>
      </c>
      <c r="B223" s="21" t="n">
        <v>45627</v>
      </c>
      <c r="C223" s="20" t="inlineStr">
        <is>
          <t>C01</t>
        </is>
      </c>
      <c r="D223" s="20" t="inlineStr">
        <is>
          <t>Northfield Markets</t>
        </is>
      </c>
      <c r="E223" s="20" t="inlineStr">
        <is>
          <t>Grocery</t>
        </is>
      </c>
      <c r="F223" s="20" t="inlineStr">
        <is>
          <t>Nut Butter</t>
        </is>
      </c>
      <c r="G223" s="22" t="n">
        <v>7774</v>
      </c>
      <c r="H223" s="23" t="n">
        <v>52.26</v>
      </c>
      <c r="I223" s="23" t="n">
        <v>406269.24</v>
      </c>
      <c r="J223" s="23" t="n">
        <v>298521.6</v>
      </c>
      <c r="K223">
        <f>IF(OR(COUNTIF($A$5:A223,A223)&gt;1,G223&lt;0,C223="",B223&lt;'Work 1'!$C$6,B223&gt;'Work 1'!$C$7,H223&gt;'Work 1'!$C$8*AVERAGEIF($F$5:$F$1014,F223,$H$5:$H$1014)),"Excl",IF(B223&gt;='Work 1'!$C$5,"LTM","Prior"))</f>
        <v/>
      </c>
      <c r="L223">
        <f>I223-J223</f>
        <v/>
      </c>
    </row>
    <row r="224" ht="14.25" customHeight="1" s="54">
      <c r="A224" s="20" t="inlineStr">
        <is>
          <t>BH-40218</t>
        </is>
      </c>
      <c r="B224" s="21" t="n">
        <v>45627</v>
      </c>
      <c r="C224" s="20" t="inlineStr">
        <is>
          <t>C01</t>
        </is>
      </c>
      <c r="D224" s="20" t="inlineStr">
        <is>
          <t>Northfield Markets</t>
        </is>
      </c>
      <c r="E224" s="20" t="inlineStr">
        <is>
          <t>Grocery</t>
        </is>
      </c>
      <c r="F224" s="20" t="inlineStr">
        <is>
          <t>Snack Bars</t>
        </is>
      </c>
      <c r="G224" s="22" t="n">
        <v>10688</v>
      </c>
      <c r="H224" s="23" t="n">
        <v>30.46</v>
      </c>
      <c r="I224" s="23" t="n">
        <v>325556.48</v>
      </c>
      <c r="J224" s="23" t="n">
        <v>211622.4</v>
      </c>
      <c r="K224">
        <f>IF(OR(COUNTIF($A$5:A224,A224)&gt;1,G224&lt;0,C224="",B224&lt;'Work 1'!$C$6,B224&gt;'Work 1'!$C$7,H224&gt;'Work 1'!$C$8*AVERAGEIF($F$5:$F$1014,F224,$H$5:$H$1014)),"Excl",IF(B224&gt;='Work 1'!$C$5,"LTM","Prior"))</f>
        <v/>
      </c>
      <c r="L224">
        <f>I224-J224</f>
        <v/>
      </c>
    </row>
    <row r="225" ht="14.25" customHeight="1" s="54">
      <c r="A225" s="20" t="inlineStr">
        <is>
          <t>BH-40219</t>
        </is>
      </c>
      <c r="B225" s="21" t="n">
        <v>45627</v>
      </c>
      <c r="C225" s="20" t="inlineStr">
        <is>
          <t>C02</t>
        </is>
      </c>
      <c r="D225" s="20" t="inlineStr">
        <is>
          <t>Crestline Grocers</t>
        </is>
      </c>
      <c r="E225" s="20" t="inlineStr">
        <is>
          <t>Grocery</t>
        </is>
      </c>
      <c r="F225" s="20" t="inlineStr">
        <is>
          <t>Granola</t>
        </is>
      </c>
      <c r="G225" s="22" t="n">
        <v>4220</v>
      </c>
      <c r="H225" s="23" t="n">
        <v>40.55</v>
      </c>
      <c r="I225" s="23" t="n">
        <v>171121</v>
      </c>
      <c r="J225" s="23" t="n">
        <v>110142</v>
      </c>
      <c r="K225">
        <f>IF(OR(COUNTIF($A$5:A225,A225)&gt;1,G225&lt;0,C225="",B225&lt;'Work 1'!$C$6,B225&gt;'Work 1'!$C$7,H225&gt;'Work 1'!$C$8*AVERAGEIF($F$5:$F$1014,F225,$H$5:$H$1014)),"Excl",IF(B225&gt;='Work 1'!$C$5,"LTM","Prior"))</f>
        <v/>
      </c>
      <c r="L225">
        <f>I225-J225</f>
        <v/>
      </c>
    </row>
    <row r="226" ht="14.25" customHeight="1" s="54">
      <c r="A226" s="20" t="inlineStr">
        <is>
          <t>BH-40220</t>
        </is>
      </c>
      <c r="B226" s="21" t="n">
        <v>45627</v>
      </c>
      <c r="C226" s="20" t="inlineStr">
        <is>
          <t>C02</t>
        </is>
      </c>
      <c r="D226" s="20" t="inlineStr">
        <is>
          <t>Crestline Grocers</t>
        </is>
      </c>
      <c r="E226" s="20" t="inlineStr">
        <is>
          <t>Grocery</t>
        </is>
      </c>
      <c r="F226" s="20" t="inlineStr">
        <is>
          <t>Nut Butter</t>
        </is>
      </c>
      <c r="G226" s="22" t="n">
        <v>2187</v>
      </c>
      <c r="H226" s="23" t="n">
        <v>53.93</v>
      </c>
      <c r="I226" s="23" t="n">
        <v>117944.91</v>
      </c>
      <c r="J226" s="23" t="n">
        <v>83980.8</v>
      </c>
      <c r="K226">
        <f>IF(OR(COUNTIF($A$5:A226,A226)&gt;1,G226&lt;0,C226="",B226&lt;'Work 1'!$C$6,B226&gt;'Work 1'!$C$7,H226&gt;'Work 1'!$C$8*AVERAGEIF($F$5:$F$1014,F226,$H$5:$H$1014)),"Excl",IF(B226&gt;='Work 1'!$C$5,"LTM","Prior"))</f>
        <v/>
      </c>
      <c r="L226">
        <f>I226-J226</f>
        <v/>
      </c>
    </row>
    <row r="227" ht="14.25" customHeight="1" s="54">
      <c r="A227" s="20" t="inlineStr">
        <is>
          <t>BH-40221</t>
        </is>
      </c>
      <c r="B227" s="21" t="n">
        <v>45627</v>
      </c>
      <c r="C227" s="20" t="inlineStr">
        <is>
          <t>C02</t>
        </is>
      </c>
      <c r="D227" s="20" t="inlineStr">
        <is>
          <t>Crestline Grocers</t>
        </is>
      </c>
      <c r="E227" s="20" t="inlineStr">
        <is>
          <t>Grocery</t>
        </is>
      </c>
      <c r="F227" s="20" t="inlineStr">
        <is>
          <t>Snack Bars</t>
        </is>
      </c>
      <c r="G227" s="22" t="n">
        <v>3733</v>
      </c>
      <c r="H227" s="23" t="n">
        <v>31.43</v>
      </c>
      <c r="I227" s="23" t="n">
        <v>117328.19</v>
      </c>
      <c r="J227" s="23" t="n">
        <v>73913.39999999999</v>
      </c>
      <c r="K227">
        <f>IF(OR(COUNTIF($A$5:A227,A227)&gt;1,G227&lt;0,C227="",B227&lt;'Work 1'!$C$6,B227&gt;'Work 1'!$C$7,H227&gt;'Work 1'!$C$8*AVERAGEIF($F$5:$F$1014,F227,$H$5:$H$1014)),"Excl",IF(B227&gt;='Work 1'!$C$5,"LTM","Prior"))</f>
        <v/>
      </c>
      <c r="L227">
        <f>I227-J227</f>
        <v/>
      </c>
    </row>
    <row r="228" ht="14.25" customHeight="1" s="54">
      <c r="A228" s="20" t="inlineStr">
        <is>
          <t>BH-40222</t>
        </is>
      </c>
      <c r="B228" s="21" t="n">
        <v>45627</v>
      </c>
      <c r="C228" s="20" t="inlineStr">
        <is>
          <t>C03</t>
        </is>
      </c>
      <c r="D228" s="20" t="inlineStr">
        <is>
          <t>ValuClub Warehouse</t>
        </is>
      </c>
      <c r="E228" s="20" t="inlineStr">
        <is>
          <t>Club</t>
        </is>
      </c>
      <c r="F228" s="20" t="inlineStr">
        <is>
          <t>Granola</t>
        </is>
      </c>
      <c r="G228" s="22" t="n">
        <v>12557</v>
      </c>
      <c r="H228" s="23" t="n">
        <v>35.9</v>
      </c>
      <c r="I228" s="23" t="n">
        <v>450796.3</v>
      </c>
      <c r="J228" s="23" t="n">
        <v>327737.7</v>
      </c>
      <c r="K228">
        <f>IF(OR(COUNTIF($A$5:A228,A228)&gt;1,G228&lt;0,C228="",B228&lt;'Work 1'!$C$6,B228&gt;'Work 1'!$C$7,H228&gt;'Work 1'!$C$8*AVERAGEIF($F$5:$F$1014,F228,$H$5:$H$1014)),"Excl",IF(B228&gt;='Work 1'!$C$5,"LTM","Prior"))</f>
        <v/>
      </c>
      <c r="L228">
        <f>I228-J228</f>
        <v/>
      </c>
    </row>
    <row r="229" ht="14.25" customHeight="1" s="54">
      <c r="A229" s="20" t="inlineStr">
        <is>
          <t>BH-40223</t>
        </is>
      </c>
      <c r="B229" s="21" t="n">
        <v>45627</v>
      </c>
      <c r="C229" s="20" t="inlineStr">
        <is>
          <t>C03</t>
        </is>
      </c>
      <c r="D229" s="20" t="inlineStr">
        <is>
          <t>ValuClub Warehouse</t>
        </is>
      </c>
      <c r="E229" s="20" t="inlineStr">
        <is>
          <t>Club</t>
        </is>
      </c>
      <c r="F229" s="20" t="inlineStr">
        <is>
          <t>Snack Bars</t>
        </is>
      </c>
      <c r="G229" s="22" t="n">
        <v>14153</v>
      </c>
      <c r="H229" s="23" t="n">
        <v>27.4</v>
      </c>
      <c r="I229" s="23" t="n">
        <v>387792.2</v>
      </c>
      <c r="J229" s="23" t="n">
        <v>280229.4</v>
      </c>
      <c r="K229">
        <f>IF(OR(COUNTIF($A$5:A229,A229)&gt;1,G229&lt;0,C229="",B229&lt;'Work 1'!$C$6,B229&gt;'Work 1'!$C$7,H229&gt;'Work 1'!$C$8*AVERAGEIF($F$5:$F$1014,F229,$H$5:$H$1014)),"Excl",IF(B229&gt;='Work 1'!$C$5,"LTM","Prior"))</f>
        <v/>
      </c>
      <c r="L229">
        <f>I229-J229</f>
        <v/>
      </c>
    </row>
    <row r="230" ht="14.25" customHeight="1" s="54">
      <c r="A230" s="20" t="inlineStr">
        <is>
          <t>BH-40224</t>
        </is>
      </c>
      <c r="B230" s="21" t="n">
        <v>45627</v>
      </c>
      <c r="C230" s="20" t="inlineStr">
        <is>
          <t>C04</t>
        </is>
      </c>
      <c r="D230" s="20" t="inlineStr">
        <is>
          <t>Harvest Lane Co-op</t>
        </is>
      </c>
      <c r="E230" s="20" t="inlineStr">
        <is>
          <t>Grocery</t>
        </is>
      </c>
      <c r="F230" s="20" t="inlineStr">
        <is>
          <t>Granola</t>
        </is>
      </c>
      <c r="G230" s="22" t="n">
        <v>3037</v>
      </c>
      <c r="H230" s="23" t="n">
        <v>41.8</v>
      </c>
      <c r="I230" s="23" t="n">
        <v>126946.6</v>
      </c>
      <c r="J230" s="23" t="n">
        <v>79265.7</v>
      </c>
      <c r="K230">
        <f>IF(OR(COUNTIF($A$5:A230,A230)&gt;1,G230&lt;0,C230="",B230&lt;'Work 1'!$C$6,B230&gt;'Work 1'!$C$7,H230&gt;'Work 1'!$C$8*AVERAGEIF($F$5:$F$1014,F230,$H$5:$H$1014)),"Excl",IF(B230&gt;='Work 1'!$C$5,"LTM","Prior"))</f>
        <v/>
      </c>
      <c r="L230">
        <f>I230-J230</f>
        <v/>
      </c>
    </row>
    <row r="231" ht="14.25" customHeight="1" s="54">
      <c r="A231" s="20" t="inlineStr">
        <is>
          <t>BH-40225</t>
        </is>
      </c>
      <c r="B231" s="21" t="n">
        <v>45627</v>
      </c>
      <c r="C231" s="20" t="inlineStr">
        <is>
          <t>C04</t>
        </is>
      </c>
      <c r="D231" s="20" t="inlineStr">
        <is>
          <t>Harvest Lane Co-op</t>
        </is>
      </c>
      <c r="E231" s="20" t="inlineStr">
        <is>
          <t>Grocery</t>
        </is>
      </c>
      <c r="F231" s="20" t="inlineStr">
        <is>
          <t>Nut Butter</t>
        </is>
      </c>
      <c r="G231" s="22" t="n">
        <v>1637</v>
      </c>
      <c r="H231" s="23" t="n">
        <v>55.6</v>
      </c>
      <c r="I231" s="23" t="n">
        <v>91017.2</v>
      </c>
      <c r="J231" s="23" t="n">
        <v>62860.8</v>
      </c>
      <c r="K231">
        <f>IF(OR(COUNTIF($A$5:A231,A231)&gt;1,G231&lt;0,C231="",B231&lt;'Work 1'!$C$6,B231&gt;'Work 1'!$C$7,H231&gt;'Work 1'!$C$8*AVERAGEIF($F$5:$F$1014,F231,$H$5:$H$1014)),"Excl",IF(B231&gt;='Work 1'!$C$5,"LTM","Prior"))</f>
        <v/>
      </c>
      <c r="L231">
        <f>I231-J231</f>
        <v/>
      </c>
    </row>
    <row r="232" ht="14.25" customHeight="1" s="54">
      <c r="A232" s="20" t="inlineStr">
        <is>
          <t>BH-40226</t>
        </is>
      </c>
      <c r="B232" s="21" t="n">
        <v>45627</v>
      </c>
      <c r="C232" s="20" t="inlineStr">
        <is>
          <t>C04</t>
        </is>
      </c>
      <c r="D232" s="20" t="inlineStr">
        <is>
          <t>Harvest Lane Co-op</t>
        </is>
      </c>
      <c r="E232" s="20" t="inlineStr">
        <is>
          <t>Grocery</t>
        </is>
      </c>
      <c r="F232" s="20" t="inlineStr">
        <is>
          <t>Snack Bars</t>
        </is>
      </c>
      <c r="G232" s="22" t="n">
        <v>1901</v>
      </c>
      <c r="H232" s="23" t="n">
        <v>32.4</v>
      </c>
      <c r="I232" s="23" t="n">
        <v>61592.4</v>
      </c>
      <c r="J232" s="23" t="n">
        <v>37639.8</v>
      </c>
      <c r="K232">
        <f>IF(OR(COUNTIF($A$5:A232,A232)&gt;1,G232&lt;0,C232="",B232&lt;'Work 1'!$C$6,B232&gt;'Work 1'!$C$7,H232&gt;'Work 1'!$C$8*AVERAGEIF($F$5:$F$1014,F232,$H$5:$H$1014)),"Excl",IF(B232&gt;='Work 1'!$C$5,"LTM","Prior"))</f>
        <v/>
      </c>
      <c r="L232">
        <f>I232-J232</f>
        <v/>
      </c>
    </row>
    <row r="233" ht="14.25" customHeight="1" s="54">
      <c r="A233" s="20" t="inlineStr">
        <is>
          <t>BH-40227</t>
        </is>
      </c>
      <c r="B233" s="21" t="n">
        <v>45627</v>
      </c>
      <c r="C233" s="20" t="inlineStr">
        <is>
          <t>C05</t>
        </is>
      </c>
      <c r="D233" s="20" t="inlineStr">
        <is>
          <t>Pioneer Foods Distribution</t>
        </is>
      </c>
      <c r="E233" s="20" t="inlineStr">
        <is>
          <t>Grocery</t>
        </is>
      </c>
      <c r="F233" s="20" t="inlineStr">
        <is>
          <t>Granola</t>
        </is>
      </c>
      <c r="G233" s="22" t="n">
        <v>3857</v>
      </c>
      <c r="H233" s="23" t="n">
        <v>37.62</v>
      </c>
      <c r="I233" s="23" t="n">
        <v>145100.34</v>
      </c>
      <c r="J233" s="23" t="n">
        <v>100667.7</v>
      </c>
      <c r="K233">
        <f>IF(OR(COUNTIF($A$5:A233,A233)&gt;1,G233&lt;0,C233="",B233&lt;'Work 1'!$C$6,B233&gt;'Work 1'!$C$7,H233&gt;'Work 1'!$C$8*AVERAGEIF($F$5:$F$1014,F233,$H$5:$H$1014)),"Excl",IF(B233&gt;='Work 1'!$C$5,"LTM","Prior"))</f>
        <v/>
      </c>
      <c r="L233">
        <f>I233-J233</f>
        <v/>
      </c>
    </row>
    <row r="234" ht="14.25" customHeight="1" s="54">
      <c r="A234" s="20" t="inlineStr">
        <is>
          <t>BH-40228</t>
        </is>
      </c>
      <c r="B234" s="21" t="n">
        <v>45627</v>
      </c>
      <c r="C234" s="20" t="inlineStr">
        <is>
          <t>C05</t>
        </is>
      </c>
      <c r="D234" s="20" t="inlineStr">
        <is>
          <t>Pioneer Foods Distribution</t>
        </is>
      </c>
      <c r="E234" s="20" t="inlineStr">
        <is>
          <t>Grocery</t>
        </is>
      </c>
      <c r="F234" s="20" t="inlineStr">
        <is>
          <t>Nut Butter</t>
        </is>
      </c>
      <c r="G234" s="22" t="n">
        <v>2203</v>
      </c>
      <c r="H234" s="23" t="n">
        <v>50.04</v>
      </c>
      <c r="I234" s="23" t="n">
        <v>110238.12</v>
      </c>
      <c r="J234" s="23" t="n">
        <v>84595.2</v>
      </c>
      <c r="K234">
        <f>IF(OR(COUNTIF($A$5:A234,A234)&gt;1,G234&lt;0,C234="",B234&lt;'Work 1'!$C$6,B234&gt;'Work 1'!$C$7,H234&gt;'Work 1'!$C$8*AVERAGEIF($F$5:$F$1014,F234,$H$5:$H$1014)),"Excl",IF(B234&gt;='Work 1'!$C$5,"LTM","Prior"))</f>
        <v/>
      </c>
      <c r="L234">
        <f>I234-J234</f>
        <v/>
      </c>
    </row>
    <row r="235" ht="14.25" customHeight="1" s="54">
      <c r="A235" s="20" t="inlineStr">
        <is>
          <t>BH-40229</t>
        </is>
      </c>
      <c r="B235" s="21" t="n">
        <v>45627</v>
      </c>
      <c r="C235" s="20" t="inlineStr">
        <is>
          <t>C05</t>
        </is>
      </c>
      <c r="D235" s="20" t="inlineStr">
        <is>
          <t>Pioneer Foods Distribution</t>
        </is>
      </c>
      <c r="E235" s="20" t="inlineStr">
        <is>
          <t>Grocery</t>
        </is>
      </c>
      <c r="F235" s="20" t="inlineStr">
        <is>
          <t>Snack Bars</t>
        </is>
      </c>
      <c r="G235" s="22" t="n">
        <v>3458</v>
      </c>
      <c r="H235" s="23" t="n">
        <v>29.16</v>
      </c>
      <c r="I235" s="23" t="n">
        <v>100835.28</v>
      </c>
      <c r="J235" s="23" t="n">
        <v>68468.39999999999</v>
      </c>
      <c r="K235">
        <f>IF(OR(COUNTIF($A$5:A235,A235)&gt;1,G235&lt;0,C235="",B235&lt;'Work 1'!$C$6,B235&gt;'Work 1'!$C$7,H235&gt;'Work 1'!$C$8*AVERAGEIF($F$5:$F$1014,F235,$H$5:$H$1014)),"Excl",IF(B235&gt;='Work 1'!$C$5,"LTM","Prior"))</f>
        <v/>
      </c>
      <c r="L235">
        <f>I235-J235</f>
        <v/>
      </c>
    </row>
    <row r="236" ht="14.25" customHeight="1" s="54">
      <c r="A236" s="20" t="inlineStr">
        <is>
          <t>BH-40230</t>
        </is>
      </c>
      <c r="B236" s="21" t="n">
        <v>45627</v>
      </c>
      <c r="C236" s="20" t="inlineStr">
        <is>
          <t>C06</t>
        </is>
      </c>
      <c r="D236" s="20" t="inlineStr">
        <is>
          <t>Summit Club Stores</t>
        </is>
      </c>
      <c r="E236" s="20" t="inlineStr">
        <is>
          <t>Club</t>
        </is>
      </c>
      <c r="F236" s="20" t="inlineStr">
        <is>
          <t>Granola</t>
        </is>
      </c>
      <c r="G236" s="22" t="n">
        <v>5264</v>
      </c>
      <c r="H236" s="23" t="n">
        <v>35.9</v>
      </c>
      <c r="I236" s="23" t="n">
        <v>188977.6</v>
      </c>
      <c r="J236" s="23" t="n">
        <v>137390.4</v>
      </c>
      <c r="K236">
        <f>IF(OR(COUNTIF($A$5:A236,A236)&gt;1,G236&lt;0,C236="",B236&lt;'Work 1'!$C$6,B236&gt;'Work 1'!$C$7,H236&gt;'Work 1'!$C$8*AVERAGEIF($F$5:$F$1014,F236,$H$5:$H$1014)),"Excl",IF(B236&gt;='Work 1'!$C$5,"LTM","Prior"))</f>
        <v/>
      </c>
      <c r="L236">
        <f>I236-J236</f>
        <v/>
      </c>
    </row>
    <row r="237" ht="14.25" customHeight="1" s="54">
      <c r="A237" s="20" t="inlineStr">
        <is>
          <t>BH-40231</t>
        </is>
      </c>
      <c r="B237" s="21" t="n">
        <v>45627</v>
      </c>
      <c r="C237" s="20" t="inlineStr">
        <is>
          <t>C06</t>
        </is>
      </c>
      <c r="D237" s="20" t="inlineStr">
        <is>
          <t>Summit Club Stores</t>
        </is>
      </c>
      <c r="E237" s="20" t="inlineStr">
        <is>
          <t>Club</t>
        </is>
      </c>
      <c r="F237" s="20" t="inlineStr">
        <is>
          <t>Nut Butter</t>
        </is>
      </c>
      <c r="G237" s="22" t="n">
        <v>2937</v>
      </c>
      <c r="H237" s="23" t="n">
        <v>47.8</v>
      </c>
      <c r="I237" s="23" t="n">
        <v>140388.6</v>
      </c>
      <c r="J237" s="23" t="n">
        <v>112780.8</v>
      </c>
      <c r="K237">
        <f>IF(OR(COUNTIF($A$5:A237,A237)&gt;1,G237&lt;0,C237="",B237&lt;'Work 1'!$C$6,B237&gt;'Work 1'!$C$7,H237&gt;'Work 1'!$C$8*AVERAGEIF($F$5:$F$1014,F237,$H$5:$H$1014)),"Excl",IF(B237&gt;='Work 1'!$C$5,"LTM","Prior"))</f>
        <v/>
      </c>
      <c r="L237">
        <f>I237-J237</f>
        <v/>
      </c>
    </row>
    <row r="238" ht="14.25" customHeight="1" s="54">
      <c r="A238" s="20" t="inlineStr">
        <is>
          <t>BH-40232</t>
        </is>
      </c>
      <c r="B238" s="21" t="n">
        <v>45627</v>
      </c>
      <c r="C238" s="20" t="inlineStr">
        <is>
          <t>C07</t>
        </is>
      </c>
      <c r="D238" s="20" t="inlineStr">
        <is>
          <t>Bramble Hill Online Store</t>
        </is>
      </c>
      <c r="E238" s="20" t="inlineStr">
        <is>
          <t>Online</t>
        </is>
      </c>
      <c r="F238" s="20" t="inlineStr">
        <is>
          <t>Granola</t>
        </is>
      </c>
      <c r="G238" s="22" t="n">
        <v>3676</v>
      </c>
      <c r="H238" s="23" t="n">
        <v>47.5</v>
      </c>
      <c r="I238" s="23" t="n">
        <v>174610</v>
      </c>
      <c r="J238" s="23" t="n">
        <v>95943.60000000001</v>
      </c>
      <c r="K238">
        <f>IF(OR(COUNTIF($A$5:A238,A238)&gt;1,G238&lt;0,C238="",B238&lt;'Work 1'!$C$6,B238&gt;'Work 1'!$C$7,H238&gt;'Work 1'!$C$8*AVERAGEIF($F$5:$F$1014,F238,$H$5:$H$1014)),"Excl",IF(B238&gt;='Work 1'!$C$5,"LTM","Prior"))</f>
        <v/>
      </c>
      <c r="L238">
        <f>I238-J238</f>
        <v/>
      </c>
    </row>
    <row r="239" ht="14.25" customHeight="1" s="54">
      <c r="A239" s="20" t="inlineStr">
        <is>
          <t>BH-40233</t>
        </is>
      </c>
      <c r="B239" s="21" t="n">
        <v>45627</v>
      </c>
      <c r="C239" s="20" t="inlineStr">
        <is>
          <t>C07</t>
        </is>
      </c>
      <c r="D239" s="20" t="inlineStr">
        <is>
          <t>Bramble Hill Online Store</t>
        </is>
      </c>
      <c r="E239" s="20" t="inlineStr">
        <is>
          <t>Online</t>
        </is>
      </c>
      <c r="F239" s="20" t="inlineStr">
        <is>
          <t>Nut Butter</t>
        </is>
      </c>
      <c r="G239" s="22" t="n">
        <v>2118</v>
      </c>
      <c r="H239" s="23" t="n">
        <v>61.9</v>
      </c>
      <c r="I239" s="23" t="n">
        <v>131104.2</v>
      </c>
      <c r="J239" s="23" t="n">
        <v>81331.2</v>
      </c>
      <c r="K239">
        <f>IF(OR(COUNTIF($A$5:A239,A239)&gt;1,G239&lt;0,C239="",B239&lt;'Work 1'!$C$6,B239&gt;'Work 1'!$C$7,H239&gt;'Work 1'!$C$8*AVERAGEIF($F$5:$F$1014,F239,$H$5:$H$1014)),"Excl",IF(B239&gt;='Work 1'!$C$5,"LTM","Prior"))</f>
        <v/>
      </c>
      <c r="L239">
        <f>I239-J239</f>
        <v/>
      </c>
    </row>
    <row r="240" ht="14.25" customHeight="1" s="54">
      <c r="A240" s="20" t="inlineStr">
        <is>
          <t>BH-40234</t>
        </is>
      </c>
      <c r="B240" s="21" t="n">
        <v>45627</v>
      </c>
      <c r="C240" s="20" t="inlineStr">
        <is>
          <t>C07</t>
        </is>
      </c>
      <c r="D240" s="20" t="inlineStr">
        <is>
          <t>Bramble Hill Online Store</t>
        </is>
      </c>
      <c r="E240" s="20" t="inlineStr">
        <is>
          <t>Online</t>
        </is>
      </c>
      <c r="F240" s="20" t="inlineStr">
        <is>
          <t>Snack Bars</t>
        </is>
      </c>
      <c r="G240" s="22" t="n">
        <v>2602</v>
      </c>
      <c r="H240" s="23" t="n">
        <v>37.8</v>
      </c>
      <c r="I240" s="23" t="n">
        <v>98355.60000000001</v>
      </c>
      <c r="J240" s="23" t="n">
        <v>51519.6</v>
      </c>
      <c r="K240">
        <f>IF(OR(COUNTIF($A$5:A240,A240)&gt;1,G240&lt;0,C240="",B240&lt;'Work 1'!$C$6,B240&gt;'Work 1'!$C$7,H240&gt;'Work 1'!$C$8*AVERAGEIF($F$5:$F$1014,F240,$H$5:$H$1014)),"Excl",IF(B240&gt;='Work 1'!$C$5,"LTM","Prior"))</f>
        <v/>
      </c>
      <c r="L240">
        <f>I240-J240</f>
        <v/>
      </c>
    </row>
    <row r="241" ht="14.25" customHeight="1" s="54">
      <c r="A241" s="20" t="inlineStr">
        <is>
          <t>BH-40235</t>
        </is>
      </c>
      <c r="B241" s="21" t="n">
        <v>45627</v>
      </c>
      <c r="C241" s="20" t="inlineStr">
        <is>
          <t>C08</t>
        </is>
      </c>
      <c r="D241" s="20" t="inlineStr">
        <is>
          <t>Online Marketplace</t>
        </is>
      </c>
      <c r="E241" s="20" t="inlineStr">
        <is>
          <t>Online</t>
        </is>
      </c>
      <c r="F241" s="20" t="inlineStr">
        <is>
          <t>Granola</t>
        </is>
      </c>
      <c r="G241" s="22" t="n">
        <v>3595</v>
      </c>
      <c r="H241" s="23" t="n">
        <v>41.8</v>
      </c>
      <c r="I241" s="23" t="n">
        <v>150271</v>
      </c>
      <c r="J241" s="23" t="n">
        <v>93829.5</v>
      </c>
      <c r="K241">
        <f>IF(OR(COUNTIF($A$5:A241,A241)&gt;1,G241&lt;0,C241="",B241&lt;'Work 1'!$C$6,B241&gt;'Work 1'!$C$7,H241&gt;'Work 1'!$C$8*AVERAGEIF($F$5:$F$1014,F241,$H$5:$H$1014)),"Excl",IF(B241&gt;='Work 1'!$C$5,"LTM","Prior"))</f>
        <v/>
      </c>
      <c r="L241">
        <f>I241-J241</f>
        <v/>
      </c>
    </row>
    <row r="242" ht="14.25" customHeight="1" s="54">
      <c r="A242" s="20" t="inlineStr">
        <is>
          <t>BH-40236</t>
        </is>
      </c>
      <c r="B242" s="21" t="n">
        <v>45627</v>
      </c>
      <c r="C242" s="20" t="inlineStr">
        <is>
          <t>C08</t>
        </is>
      </c>
      <c r="D242" s="20" t="inlineStr">
        <is>
          <t>Online Marketplace</t>
        </is>
      </c>
      <c r="E242" s="20" t="inlineStr">
        <is>
          <t>Online</t>
        </is>
      </c>
      <c r="F242" s="20" t="inlineStr">
        <is>
          <t>Nut Butter</t>
        </is>
      </c>
      <c r="G242" s="22" t="n">
        <v>1904</v>
      </c>
      <c r="H242" s="23" t="n">
        <v>54.47</v>
      </c>
      <c r="I242" s="23" t="n">
        <v>103710.88</v>
      </c>
      <c r="J242" s="23" t="n">
        <v>73113.60000000001</v>
      </c>
      <c r="K242">
        <f>IF(OR(COUNTIF($A$5:A242,A242)&gt;1,G242&lt;0,C242="",B242&lt;'Work 1'!$C$6,B242&gt;'Work 1'!$C$7,H242&gt;'Work 1'!$C$8*AVERAGEIF($F$5:$F$1014,F242,$H$5:$H$1014)),"Excl",IF(B242&gt;='Work 1'!$C$5,"LTM","Prior"))</f>
        <v/>
      </c>
      <c r="L242">
        <f>I242-J242</f>
        <v/>
      </c>
    </row>
    <row r="243" ht="14.25" customHeight="1" s="54">
      <c r="A243" s="20" t="inlineStr">
        <is>
          <t>BH-40237</t>
        </is>
      </c>
      <c r="B243" s="21" t="n">
        <v>45627</v>
      </c>
      <c r="C243" s="20" t="inlineStr">
        <is>
          <t>C08</t>
        </is>
      </c>
      <c r="D243" s="20" t="inlineStr">
        <is>
          <t>Online Marketplace</t>
        </is>
      </c>
      <c r="E243" s="20" t="inlineStr">
        <is>
          <t>Online</t>
        </is>
      </c>
      <c r="F243" s="20" t="inlineStr">
        <is>
          <t>Snack Bars</t>
        </is>
      </c>
      <c r="G243" s="22" t="n">
        <v>3086</v>
      </c>
      <c r="H243" s="23" t="n">
        <v>33.26</v>
      </c>
      <c r="I243" s="23" t="n">
        <v>102640.36</v>
      </c>
      <c r="J243" s="23" t="n">
        <v>61102.8</v>
      </c>
      <c r="K243">
        <f>IF(OR(COUNTIF($A$5:A243,A243)&gt;1,G243&lt;0,C243="",B243&lt;'Work 1'!$C$6,B243&gt;'Work 1'!$C$7,H243&gt;'Work 1'!$C$8*AVERAGEIF($F$5:$F$1014,F243,$H$5:$H$1014)),"Excl",IF(B243&gt;='Work 1'!$C$5,"LTM","Prior"))</f>
        <v/>
      </c>
      <c r="L243">
        <f>I243-J243</f>
        <v/>
      </c>
    </row>
    <row r="244" ht="14.25" customHeight="1" s="54">
      <c r="A244" s="20" t="inlineStr">
        <is>
          <t>BH-40238</t>
        </is>
      </c>
      <c r="B244" s="21" t="n">
        <v>45627</v>
      </c>
      <c r="C244" s="20" t="inlineStr">
        <is>
          <t>C09</t>
        </is>
      </c>
      <c r="D244" s="20" t="inlineStr">
        <is>
          <t>Maple Ridge Grocers</t>
        </is>
      </c>
      <c r="E244" s="20" t="inlineStr">
        <is>
          <t>Grocery</t>
        </is>
      </c>
      <c r="F244" s="20" t="inlineStr">
        <is>
          <t>Granola</t>
        </is>
      </c>
      <c r="G244" s="22" t="n">
        <v>1792</v>
      </c>
      <c r="H244" s="23" t="n">
        <v>41.8</v>
      </c>
      <c r="I244" s="23" t="n">
        <v>74905.60000000001</v>
      </c>
      <c r="J244" s="23" t="n">
        <v>46771.2</v>
      </c>
      <c r="K244">
        <f>IF(OR(COUNTIF($A$5:A244,A244)&gt;1,G244&lt;0,C244="",B244&lt;'Work 1'!$C$6,B244&gt;'Work 1'!$C$7,H244&gt;'Work 1'!$C$8*AVERAGEIF($F$5:$F$1014,F244,$H$5:$H$1014)),"Excl",IF(B244&gt;='Work 1'!$C$5,"LTM","Prior"))</f>
        <v/>
      </c>
      <c r="L244">
        <f>I244-J244</f>
        <v/>
      </c>
    </row>
    <row r="245" ht="14.25" customHeight="1" s="54">
      <c r="A245" s="20" t="inlineStr">
        <is>
          <t>BH-40239</t>
        </is>
      </c>
      <c r="B245" s="21" t="n">
        <v>45627</v>
      </c>
      <c r="C245" s="20" t="inlineStr">
        <is>
          <t>C09</t>
        </is>
      </c>
      <c r="D245" s="20" t="inlineStr">
        <is>
          <t>Maple Ridge Grocers</t>
        </is>
      </c>
      <c r="E245" s="20" t="inlineStr">
        <is>
          <t>Grocery</t>
        </is>
      </c>
      <c r="F245" s="20" t="inlineStr">
        <is>
          <t>Snack Bars</t>
        </is>
      </c>
      <c r="G245" s="22" t="n">
        <v>1426</v>
      </c>
      <c r="H245" s="23" t="n">
        <v>32.4</v>
      </c>
      <c r="I245" s="23" t="n">
        <v>46202.4</v>
      </c>
      <c r="J245" s="23" t="n">
        <v>28234.8</v>
      </c>
      <c r="K245">
        <f>IF(OR(COUNTIF($A$5:A245,A245)&gt;1,G245&lt;0,C245="",B245&lt;'Work 1'!$C$6,B245&gt;'Work 1'!$C$7,H245&gt;'Work 1'!$C$8*AVERAGEIF($F$5:$F$1014,F245,$H$5:$H$1014)),"Excl",IF(B245&gt;='Work 1'!$C$5,"LTM","Prior"))</f>
        <v/>
      </c>
      <c r="L245">
        <f>I245-J245</f>
        <v/>
      </c>
    </row>
    <row r="246" ht="14.25" customHeight="1" s="54">
      <c r="A246" s="20" t="inlineStr">
        <is>
          <t>BH-40240</t>
        </is>
      </c>
      <c r="B246" s="21" t="n">
        <v>45627</v>
      </c>
      <c r="C246" s="20" t="inlineStr">
        <is>
          <t>C10</t>
        </is>
      </c>
      <c r="D246" s="20" t="inlineStr">
        <is>
          <t>Lakeshore Foods</t>
        </is>
      </c>
      <c r="E246" s="20" t="inlineStr">
        <is>
          <t>Grocery</t>
        </is>
      </c>
      <c r="F246" s="20" t="inlineStr">
        <is>
          <t>Granola</t>
        </is>
      </c>
      <c r="G246" s="22" t="n">
        <v>1506</v>
      </c>
      <c r="H246" s="23" t="n">
        <v>41.8</v>
      </c>
      <c r="I246" s="23" t="n">
        <v>62950.8</v>
      </c>
      <c r="J246" s="23" t="n">
        <v>39306.6</v>
      </c>
      <c r="K246">
        <f>IF(OR(COUNTIF($A$5:A246,A246)&gt;1,G246&lt;0,C246="",B246&lt;'Work 1'!$C$6,B246&gt;'Work 1'!$C$7,H246&gt;'Work 1'!$C$8*AVERAGEIF($F$5:$F$1014,F246,$H$5:$H$1014)),"Excl",IF(B246&gt;='Work 1'!$C$5,"LTM","Prior"))</f>
        <v/>
      </c>
      <c r="L246">
        <f>I246-J246</f>
        <v/>
      </c>
    </row>
    <row r="247" ht="14.25" customHeight="1" s="54">
      <c r="A247" s="20" t="inlineStr">
        <is>
          <t>BH-40241</t>
        </is>
      </c>
      <c r="B247" s="21" t="n">
        <v>45627</v>
      </c>
      <c r="C247" s="20" t="inlineStr">
        <is>
          <t>C10</t>
        </is>
      </c>
      <c r="D247" s="20" t="inlineStr">
        <is>
          <t>Lakeshore Foods</t>
        </is>
      </c>
      <c r="E247" s="20" t="inlineStr">
        <is>
          <t>Grocery</t>
        </is>
      </c>
      <c r="F247" s="20" t="inlineStr">
        <is>
          <t>Nut Butter</t>
        </is>
      </c>
      <c r="G247" s="22" t="n">
        <v>649</v>
      </c>
      <c r="H247" s="23" t="n">
        <v>55.6</v>
      </c>
      <c r="I247" s="23" t="n">
        <v>36084.4</v>
      </c>
      <c r="J247" s="23" t="n">
        <v>24921.6</v>
      </c>
      <c r="K247">
        <f>IF(OR(COUNTIF($A$5:A247,A247)&gt;1,G247&lt;0,C247="",B247&lt;'Work 1'!$C$6,B247&gt;'Work 1'!$C$7,H247&gt;'Work 1'!$C$8*AVERAGEIF($F$5:$F$1014,F247,$H$5:$H$1014)),"Excl",IF(B247&gt;='Work 1'!$C$5,"LTM","Prior"))</f>
        <v/>
      </c>
      <c r="L247">
        <f>I247-J247</f>
        <v/>
      </c>
    </row>
    <row r="248" ht="14.25" customHeight="1" s="54">
      <c r="A248" s="20" t="inlineStr">
        <is>
          <t>BH-40242</t>
        </is>
      </c>
      <c r="B248" s="21" t="n">
        <v>45627</v>
      </c>
      <c r="C248" s="20" t="inlineStr">
        <is>
          <t>C11</t>
        </is>
      </c>
      <c r="D248" s="20" t="inlineStr">
        <is>
          <t>Copper Valley Market</t>
        </is>
      </c>
      <c r="E248" s="20" t="inlineStr">
        <is>
          <t>Grocery</t>
        </is>
      </c>
      <c r="F248" s="20" t="inlineStr">
        <is>
          <t>Granola</t>
        </is>
      </c>
      <c r="G248" s="22" t="n">
        <v>1294</v>
      </c>
      <c r="H248" s="23" t="n">
        <v>41.8</v>
      </c>
      <c r="I248" s="23" t="n">
        <v>54089.2</v>
      </c>
      <c r="J248" s="23" t="n">
        <v>33773.4</v>
      </c>
      <c r="K248">
        <f>IF(OR(COUNTIF($A$5:A248,A248)&gt;1,G248&lt;0,C248="",B248&lt;'Work 1'!$C$6,B248&gt;'Work 1'!$C$7,H248&gt;'Work 1'!$C$8*AVERAGEIF($F$5:$F$1014,F248,$H$5:$H$1014)),"Excl",IF(B248&gt;='Work 1'!$C$5,"LTM","Prior"))</f>
        <v/>
      </c>
      <c r="L248">
        <f>I248-J248</f>
        <v/>
      </c>
    </row>
    <row r="249" ht="14.25" customHeight="1" s="54">
      <c r="A249" s="20" t="inlineStr">
        <is>
          <t>BH-40243</t>
        </is>
      </c>
      <c r="B249" s="21" t="n">
        <v>45627</v>
      </c>
      <c r="C249" s="20" t="inlineStr">
        <is>
          <t>C11</t>
        </is>
      </c>
      <c r="D249" s="20" t="inlineStr">
        <is>
          <t>Copper Valley Market</t>
        </is>
      </c>
      <c r="E249" s="20" t="inlineStr">
        <is>
          <t>Grocery</t>
        </is>
      </c>
      <c r="F249" s="20" t="inlineStr">
        <is>
          <t>Snack Bars</t>
        </is>
      </c>
      <c r="G249" s="22" t="n">
        <v>1368</v>
      </c>
      <c r="H249" s="23" t="n">
        <v>32.4</v>
      </c>
      <c r="I249" s="23" t="n">
        <v>44323.2</v>
      </c>
      <c r="J249" s="23" t="n">
        <v>27086.4</v>
      </c>
      <c r="K249">
        <f>IF(OR(COUNTIF($A$5:A249,A249)&gt;1,G249&lt;0,C249="",B249&lt;'Work 1'!$C$6,B249&gt;'Work 1'!$C$7,H249&gt;'Work 1'!$C$8*AVERAGEIF($F$5:$F$1014,F249,$H$5:$H$1014)),"Excl",IF(B249&gt;='Work 1'!$C$5,"LTM","Prior"))</f>
        <v/>
      </c>
      <c r="L249">
        <f>I249-J249</f>
        <v/>
      </c>
    </row>
    <row r="250" ht="14.25" customHeight="1" s="54">
      <c r="A250" s="20" t="inlineStr">
        <is>
          <t>BH-40244</t>
        </is>
      </c>
      <c r="B250" s="21" t="n">
        <v>45627</v>
      </c>
      <c r="C250" s="20" t="inlineStr">
        <is>
          <t>C12</t>
        </is>
      </c>
      <c r="D250" s="20" t="inlineStr">
        <is>
          <t>Riverbend Grocery</t>
        </is>
      </c>
      <c r="E250" s="20" t="inlineStr">
        <is>
          <t>Grocery</t>
        </is>
      </c>
      <c r="F250" s="20" t="inlineStr">
        <is>
          <t>Granola</t>
        </is>
      </c>
      <c r="G250" s="22" t="n">
        <v>1962</v>
      </c>
      <c r="H250" s="23" t="n">
        <v>41.8</v>
      </c>
      <c r="I250" s="23" t="n">
        <v>82011.60000000001</v>
      </c>
      <c r="J250" s="23" t="n">
        <v>51208.2</v>
      </c>
      <c r="K250">
        <f>IF(OR(COUNTIF($A$5:A250,A250)&gt;1,G250&lt;0,C250="",B250&lt;'Work 1'!$C$6,B250&gt;'Work 1'!$C$7,H250&gt;'Work 1'!$C$8*AVERAGEIF($F$5:$F$1014,F250,$H$5:$H$1014)),"Excl",IF(B250&gt;='Work 1'!$C$5,"LTM","Prior"))</f>
        <v/>
      </c>
      <c r="L250">
        <f>I250-J250</f>
        <v/>
      </c>
    </row>
    <row r="251" ht="14.25" customHeight="1" s="54">
      <c r="A251" s="20" t="inlineStr">
        <is>
          <t>BH-40245</t>
        </is>
      </c>
      <c r="B251" s="21" t="n">
        <v>45627</v>
      </c>
      <c r="C251" s="20" t="inlineStr">
        <is>
          <t>C12</t>
        </is>
      </c>
      <c r="D251" s="20" t="inlineStr">
        <is>
          <t>Riverbend Grocery</t>
        </is>
      </c>
      <c r="E251" s="20" t="inlineStr">
        <is>
          <t>Grocery</t>
        </is>
      </c>
      <c r="F251" s="20" t="inlineStr">
        <is>
          <t>Nut Butter</t>
        </is>
      </c>
      <c r="G251" s="22" t="n">
        <v>839</v>
      </c>
      <c r="H251" s="23" t="n">
        <v>55.6</v>
      </c>
      <c r="I251" s="23" t="n">
        <v>46648.4</v>
      </c>
      <c r="J251" s="23" t="n">
        <v>32217.6</v>
      </c>
      <c r="K251">
        <f>IF(OR(COUNTIF($A$5:A251,A251)&gt;1,G251&lt;0,C251="",B251&lt;'Work 1'!$C$6,B251&gt;'Work 1'!$C$7,H251&gt;'Work 1'!$C$8*AVERAGEIF($F$5:$F$1014,F251,$H$5:$H$1014)),"Excl",IF(B251&gt;='Work 1'!$C$5,"LTM","Prior"))</f>
        <v/>
      </c>
      <c r="L251">
        <f>I251-J251</f>
        <v/>
      </c>
    </row>
    <row r="252" ht="14.25" customHeight="1" s="54">
      <c r="A252" s="20" t="inlineStr">
        <is>
          <t>BH-40246</t>
        </is>
      </c>
      <c r="B252" s="21" t="n">
        <v>45627</v>
      </c>
      <c r="C252" s="20" t="inlineStr">
        <is>
          <t>C13</t>
        </is>
      </c>
      <c r="D252" s="20" t="inlineStr">
        <is>
          <t>Sunfield Markets</t>
        </is>
      </c>
      <c r="E252" s="20" t="inlineStr">
        <is>
          <t>Grocery</t>
        </is>
      </c>
      <c r="F252" s="20" t="inlineStr">
        <is>
          <t>Granola</t>
        </is>
      </c>
      <c r="G252" s="22" t="n">
        <v>1082</v>
      </c>
      <c r="H252" s="23" t="n">
        <v>41.8</v>
      </c>
      <c r="I252" s="23" t="n">
        <v>45227.6</v>
      </c>
      <c r="J252" s="23" t="n">
        <v>28240.2</v>
      </c>
      <c r="K252">
        <f>IF(OR(COUNTIF($A$5:A252,A252)&gt;1,G252&lt;0,C252="",B252&lt;'Work 1'!$C$6,B252&gt;'Work 1'!$C$7,H252&gt;'Work 1'!$C$8*AVERAGEIF($F$5:$F$1014,F252,$H$5:$H$1014)),"Excl",IF(B252&gt;='Work 1'!$C$5,"LTM","Prior"))</f>
        <v/>
      </c>
      <c r="L252">
        <f>I252-J252</f>
        <v/>
      </c>
    </row>
    <row r="253" ht="14.25" customHeight="1" s="54">
      <c r="A253" s="20" t="inlineStr">
        <is>
          <t>BH-40247</t>
        </is>
      </c>
      <c r="B253" s="21" t="n">
        <v>45627</v>
      </c>
      <c r="C253" s="20" t="inlineStr">
        <is>
          <t>C13</t>
        </is>
      </c>
      <c r="D253" s="20" t="inlineStr">
        <is>
          <t>Sunfield Markets</t>
        </is>
      </c>
      <c r="E253" s="20" t="inlineStr">
        <is>
          <t>Grocery</t>
        </is>
      </c>
      <c r="F253" s="20" t="inlineStr">
        <is>
          <t>Snack Bars</t>
        </is>
      </c>
      <c r="G253" s="22" t="n">
        <v>1115</v>
      </c>
      <c r="H253" s="23" t="n">
        <v>32.4</v>
      </c>
      <c r="I253" s="23" t="n">
        <v>36126</v>
      </c>
      <c r="J253" s="23" t="n">
        <v>22077</v>
      </c>
      <c r="K253">
        <f>IF(OR(COUNTIF($A$5:A253,A253)&gt;1,G253&lt;0,C253="",B253&lt;'Work 1'!$C$6,B253&gt;'Work 1'!$C$7,H253&gt;'Work 1'!$C$8*AVERAGEIF($F$5:$F$1014,F253,$H$5:$H$1014)),"Excl",IF(B253&gt;='Work 1'!$C$5,"LTM","Prior"))</f>
        <v/>
      </c>
      <c r="L253">
        <f>I253-J253</f>
        <v/>
      </c>
    </row>
    <row r="254" ht="14.25" customHeight="1" s="54">
      <c r="A254" s="20" t="inlineStr">
        <is>
          <t>BH-40248</t>
        </is>
      </c>
      <c r="B254" s="21" t="n">
        <v>45627</v>
      </c>
      <c r="C254" s="20" t="inlineStr">
        <is>
          <t>C14</t>
        </is>
      </c>
      <c r="D254" s="20" t="inlineStr">
        <is>
          <t>Oak Hollow Foods</t>
        </is>
      </c>
      <c r="E254" s="20" t="inlineStr">
        <is>
          <t>Grocery</t>
        </is>
      </c>
      <c r="F254" s="20" t="inlineStr">
        <is>
          <t>Granola</t>
        </is>
      </c>
      <c r="G254" s="22" t="n">
        <v>1278</v>
      </c>
      <c r="H254" s="23" t="n">
        <v>41.8</v>
      </c>
      <c r="I254" s="23" t="n">
        <v>53420.4</v>
      </c>
      <c r="J254" s="23" t="n">
        <v>33355.8</v>
      </c>
      <c r="K254">
        <f>IF(OR(COUNTIF($A$5:A254,A254)&gt;1,G254&lt;0,C254="",B254&lt;'Work 1'!$C$6,B254&gt;'Work 1'!$C$7,H254&gt;'Work 1'!$C$8*AVERAGEIF($F$5:$F$1014,F254,$H$5:$H$1014)),"Excl",IF(B254&gt;='Work 1'!$C$5,"LTM","Prior"))</f>
        <v/>
      </c>
      <c r="L254">
        <f>I254-J254</f>
        <v/>
      </c>
    </row>
    <row r="255" ht="14.25" customHeight="1" s="54">
      <c r="A255" s="20" t="inlineStr">
        <is>
          <t>BH-40249</t>
        </is>
      </c>
      <c r="B255" s="21" t="n">
        <v>45627</v>
      </c>
      <c r="C255" s="20" t="inlineStr">
        <is>
          <t>C14</t>
        </is>
      </c>
      <c r="D255" s="20" t="inlineStr">
        <is>
          <t>Oak Hollow Foods</t>
        </is>
      </c>
      <c r="E255" s="20" t="inlineStr">
        <is>
          <t>Grocery</t>
        </is>
      </c>
      <c r="F255" s="20" t="inlineStr">
        <is>
          <t>Nut Butter</t>
        </is>
      </c>
      <c r="G255" s="22" t="n">
        <v>487</v>
      </c>
      <c r="H255" s="23" t="n">
        <v>55.6</v>
      </c>
      <c r="I255" s="23" t="n">
        <v>27077.2</v>
      </c>
      <c r="J255" s="23" t="n">
        <v>18700.8</v>
      </c>
      <c r="K255">
        <f>IF(OR(COUNTIF($A$5:A255,A255)&gt;1,G255&lt;0,C255="",B255&lt;'Work 1'!$C$6,B255&gt;'Work 1'!$C$7,H255&gt;'Work 1'!$C$8*AVERAGEIF($F$5:$F$1014,F255,$H$5:$H$1014)),"Excl",IF(B255&gt;='Work 1'!$C$5,"LTM","Prior"))</f>
        <v/>
      </c>
      <c r="L255">
        <f>I255-J255</f>
        <v/>
      </c>
    </row>
    <row r="256" ht="14.25" customHeight="1" s="54">
      <c r="A256" s="20" t="inlineStr">
        <is>
          <t>BH-40250</t>
        </is>
      </c>
      <c r="B256" s="21" t="n">
        <v>45627</v>
      </c>
      <c r="C256" s="20" t="inlineStr">
        <is>
          <t>C14</t>
        </is>
      </c>
      <c r="D256" s="20" t="inlineStr">
        <is>
          <t>Oak Hollow Foods</t>
        </is>
      </c>
      <c r="E256" s="20" t="inlineStr">
        <is>
          <t>Grocery</t>
        </is>
      </c>
      <c r="F256" s="20" t="inlineStr">
        <is>
          <t>Snack Bars</t>
        </is>
      </c>
      <c r="G256" s="22" t="n">
        <v>820</v>
      </c>
      <c r="H256" s="23" t="n">
        <v>32.4</v>
      </c>
      <c r="I256" s="23" t="n">
        <v>26568</v>
      </c>
      <c r="J256" s="23" t="n">
        <v>16236</v>
      </c>
      <c r="K256">
        <f>IF(OR(COUNTIF($A$5:A256,A256)&gt;1,G256&lt;0,C256="",B256&lt;'Work 1'!$C$6,B256&gt;'Work 1'!$C$7,H256&gt;'Work 1'!$C$8*AVERAGEIF($F$5:$F$1014,F256,$H$5:$H$1014)),"Excl",IF(B256&gt;='Work 1'!$C$5,"LTM","Prior"))</f>
        <v/>
      </c>
      <c r="L256">
        <f>I256-J256</f>
        <v/>
      </c>
    </row>
    <row r="257" ht="14.25" customHeight="1" s="54">
      <c r="A257" s="20" t="inlineStr">
        <is>
          <t>BH-40251</t>
        </is>
      </c>
      <c r="B257" s="21" t="n">
        <v>45627</v>
      </c>
      <c r="C257" s="20" t="inlineStr">
        <is>
          <t>C15</t>
        </is>
      </c>
      <c r="D257" s="20" t="inlineStr">
        <is>
          <t>Prairie Fresh</t>
        </is>
      </c>
      <c r="E257" s="20" t="inlineStr">
        <is>
          <t>Grocery</t>
        </is>
      </c>
      <c r="F257" s="20" t="inlineStr">
        <is>
          <t>Granola</t>
        </is>
      </c>
      <c r="G257" s="22" t="n">
        <v>1494</v>
      </c>
      <c r="H257" s="23" t="n">
        <v>41.8</v>
      </c>
      <c r="I257" s="23" t="n">
        <v>62449.2</v>
      </c>
      <c r="J257" s="23" t="n">
        <v>38993.4</v>
      </c>
      <c r="K257">
        <f>IF(OR(COUNTIF($A$5:A257,A257)&gt;1,G257&lt;0,C257="",B257&lt;'Work 1'!$C$6,B257&gt;'Work 1'!$C$7,H257&gt;'Work 1'!$C$8*AVERAGEIF($F$5:$F$1014,F257,$H$5:$H$1014)),"Excl",IF(B257&gt;='Work 1'!$C$5,"LTM","Prior"))</f>
        <v/>
      </c>
      <c r="L257">
        <f>I257-J257</f>
        <v/>
      </c>
    </row>
    <row r="258" ht="14.25" customHeight="1" s="54">
      <c r="A258" s="20" t="inlineStr">
        <is>
          <t>BH-40252</t>
        </is>
      </c>
      <c r="B258" s="21" t="n">
        <v>45627</v>
      </c>
      <c r="C258" s="20" t="inlineStr">
        <is>
          <t>C15</t>
        </is>
      </c>
      <c r="D258" s="20" t="inlineStr">
        <is>
          <t>Prairie Fresh</t>
        </is>
      </c>
      <c r="E258" s="20" t="inlineStr">
        <is>
          <t>Grocery</t>
        </is>
      </c>
      <c r="F258" s="20" t="inlineStr">
        <is>
          <t>Snack Bars</t>
        </is>
      </c>
      <c r="G258" s="22" t="n">
        <v>1125</v>
      </c>
      <c r="H258" s="23" t="n">
        <v>32.4</v>
      </c>
      <c r="I258" s="23" t="n">
        <v>36450</v>
      </c>
      <c r="J258" s="23" t="n">
        <v>22275</v>
      </c>
      <c r="K258">
        <f>IF(OR(COUNTIF($A$5:A258,A258)&gt;1,G258&lt;0,C258="",B258&lt;'Work 1'!$C$6,B258&gt;'Work 1'!$C$7,H258&gt;'Work 1'!$C$8*AVERAGEIF($F$5:$F$1014,F258,$H$5:$H$1014)),"Excl",IF(B258&gt;='Work 1'!$C$5,"LTM","Prior"))</f>
        <v/>
      </c>
      <c r="L258">
        <f>I258-J258</f>
        <v/>
      </c>
    </row>
    <row r="259" ht="14.25" customHeight="1" s="54">
      <c r="A259" s="20" t="inlineStr">
        <is>
          <t>BH-40253</t>
        </is>
      </c>
      <c r="B259" s="21" t="n">
        <v>45627</v>
      </c>
      <c r="C259" s="20" t="inlineStr">
        <is>
          <t>C16</t>
        </is>
      </c>
      <c r="D259" s="20" t="inlineStr">
        <is>
          <t>Bay Street Market</t>
        </is>
      </c>
      <c r="E259" s="20" t="inlineStr">
        <is>
          <t>Grocery</t>
        </is>
      </c>
      <c r="F259" s="20" t="inlineStr">
        <is>
          <t>Granola</t>
        </is>
      </c>
      <c r="G259" s="22" t="n">
        <v>1091</v>
      </c>
      <c r="H259" s="23" t="n">
        <v>41.8</v>
      </c>
      <c r="I259" s="23" t="n">
        <v>45603.8</v>
      </c>
      <c r="J259" s="23" t="n">
        <v>28475.1</v>
      </c>
      <c r="K259">
        <f>IF(OR(COUNTIF($A$5:A259,A259)&gt;1,G259&lt;0,C259="",B259&lt;'Work 1'!$C$6,B259&gt;'Work 1'!$C$7,H259&gt;'Work 1'!$C$8*AVERAGEIF($F$5:$F$1014,F259,$H$5:$H$1014)),"Excl",IF(B259&gt;='Work 1'!$C$5,"LTM","Prior"))</f>
        <v/>
      </c>
      <c r="L259">
        <f>I259-J259</f>
        <v/>
      </c>
    </row>
    <row r="260" ht="14.25" customHeight="1" s="54">
      <c r="A260" s="20" t="inlineStr">
        <is>
          <t>BH-40254</t>
        </is>
      </c>
      <c r="B260" s="21" t="n">
        <v>45627</v>
      </c>
      <c r="C260" s="20" t="inlineStr">
        <is>
          <t>C16</t>
        </is>
      </c>
      <c r="D260" s="20" t="inlineStr">
        <is>
          <t>Bay Street Market</t>
        </is>
      </c>
      <c r="E260" s="20" t="inlineStr">
        <is>
          <t>Grocery</t>
        </is>
      </c>
      <c r="F260" s="20" t="inlineStr">
        <is>
          <t>Nut Butter</t>
        </is>
      </c>
      <c r="G260" s="22" t="n">
        <v>649</v>
      </c>
      <c r="H260" s="23" t="n">
        <v>55.6</v>
      </c>
      <c r="I260" s="23" t="n">
        <v>36084.4</v>
      </c>
      <c r="J260" s="23" t="n">
        <v>24921.6</v>
      </c>
      <c r="K260">
        <f>IF(OR(COUNTIF($A$5:A260,A260)&gt;1,G260&lt;0,C260="",B260&lt;'Work 1'!$C$6,B260&gt;'Work 1'!$C$7,H260&gt;'Work 1'!$C$8*AVERAGEIF($F$5:$F$1014,F260,$H$5:$H$1014)),"Excl",IF(B260&gt;='Work 1'!$C$5,"LTM","Prior"))</f>
        <v/>
      </c>
      <c r="L260">
        <f>I260-J260</f>
        <v/>
      </c>
    </row>
    <row r="261" ht="14.25" customHeight="1" s="54">
      <c r="A261" s="20" t="inlineStr">
        <is>
          <t>BH-40255</t>
        </is>
      </c>
      <c r="B261" s="21" t="n">
        <v>45627</v>
      </c>
      <c r="C261" s="20" t="inlineStr">
        <is>
          <t>C17</t>
        </is>
      </c>
      <c r="D261" s="20" t="inlineStr">
        <is>
          <t>Eastgate Grocers</t>
        </is>
      </c>
      <c r="E261" s="20" t="inlineStr">
        <is>
          <t>Grocery</t>
        </is>
      </c>
      <c r="F261" s="20" t="inlineStr">
        <is>
          <t>Granola</t>
        </is>
      </c>
      <c r="G261" s="22" t="n">
        <v>1488</v>
      </c>
      <c r="H261" s="23" t="n">
        <v>41.8</v>
      </c>
      <c r="I261" s="23" t="n">
        <v>62198.4</v>
      </c>
      <c r="J261" s="23" t="n">
        <v>38836.8</v>
      </c>
      <c r="K261">
        <f>IF(OR(COUNTIF($A$5:A261,A261)&gt;1,G261&lt;0,C261="",B261&lt;'Work 1'!$C$6,B261&gt;'Work 1'!$C$7,H261&gt;'Work 1'!$C$8*AVERAGEIF($F$5:$F$1014,F261,$H$5:$H$1014)),"Excl",IF(B261&gt;='Work 1'!$C$5,"LTM","Prior"))</f>
        <v/>
      </c>
      <c r="L261">
        <f>I261-J261</f>
        <v/>
      </c>
    </row>
    <row r="262" ht="14.25" customHeight="1" s="54">
      <c r="A262" s="20" t="inlineStr">
        <is>
          <t>BH-40256</t>
        </is>
      </c>
      <c r="B262" s="21" t="n">
        <v>45627</v>
      </c>
      <c r="C262" s="20" t="inlineStr">
        <is>
          <t>C17</t>
        </is>
      </c>
      <c r="D262" s="20" t="inlineStr">
        <is>
          <t>Eastgate Grocers</t>
        </is>
      </c>
      <c r="E262" s="20" t="inlineStr">
        <is>
          <t>Grocery</t>
        </is>
      </c>
      <c r="F262" s="20" t="inlineStr">
        <is>
          <t>Snack Bars</t>
        </is>
      </c>
      <c r="G262" s="22" t="n">
        <v>1092</v>
      </c>
      <c r="H262" s="23" t="n">
        <v>32.4</v>
      </c>
      <c r="I262" s="23" t="n">
        <v>35380.8</v>
      </c>
      <c r="J262" s="23" t="n">
        <v>21621.6</v>
      </c>
      <c r="K262">
        <f>IF(OR(COUNTIF($A$5:A262,A262)&gt;1,G262&lt;0,C262="",B262&lt;'Work 1'!$C$6,B262&gt;'Work 1'!$C$7,H262&gt;'Work 1'!$C$8*AVERAGEIF($F$5:$F$1014,F262,$H$5:$H$1014)),"Excl",IF(B262&gt;='Work 1'!$C$5,"LTM","Prior"))</f>
        <v/>
      </c>
      <c r="L262">
        <f>I262-J262</f>
        <v/>
      </c>
    </row>
    <row r="263" ht="14.25" customHeight="1" s="54">
      <c r="A263" s="20" t="inlineStr">
        <is>
          <t>BH-40257</t>
        </is>
      </c>
      <c r="B263" s="21" t="n">
        <v>45627</v>
      </c>
      <c r="C263" s="20" t="inlineStr">
        <is>
          <t>C18</t>
        </is>
      </c>
      <c r="D263" s="20" t="inlineStr">
        <is>
          <t>Hillcrest Food Co.</t>
        </is>
      </c>
      <c r="E263" s="20" t="inlineStr">
        <is>
          <t>Grocery</t>
        </is>
      </c>
      <c r="F263" s="20" t="inlineStr">
        <is>
          <t>Granola</t>
        </is>
      </c>
      <c r="G263" s="22" t="n">
        <v>1131</v>
      </c>
      <c r="H263" s="23" t="n">
        <v>41.8</v>
      </c>
      <c r="I263" s="23" t="n">
        <v>47275.8</v>
      </c>
      <c r="J263" s="23" t="n">
        <v>29519.1</v>
      </c>
      <c r="K263">
        <f>IF(OR(COUNTIF($A$5:A263,A263)&gt;1,G263&lt;0,C263="",B263&lt;'Work 1'!$C$6,B263&gt;'Work 1'!$C$7,H263&gt;'Work 1'!$C$8*AVERAGEIF($F$5:$F$1014,F263,$H$5:$H$1014)),"Excl",IF(B263&gt;='Work 1'!$C$5,"LTM","Prior"))</f>
        <v/>
      </c>
      <c r="L263">
        <f>I263-J263</f>
        <v/>
      </c>
    </row>
    <row r="264" ht="14.25" customHeight="1" s="54">
      <c r="A264" s="20" t="inlineStr">
        <is>
          <t>BH-40258</t>
        </is>
      </c>
      <c r="B264" s="21" t="n">
        <v>45627</v>
      </c>
      <c r="C264" s="20" t="inlineStr">
        <is>
          <t>C18</t>
        </is>
      </c>
      <c r="D264" s="20" t="inlineStr">
        <is>
          <t>Hillcrest Food Co.</t>
        </is>
      </c>
      <c r="E264" s="20" t="inlineStr">
        <is>
          <t>Grocery</t>
        </is>
      </c>
      <c r="F264" s="20" t="inlineStr">
        <is>
          <t>Nut Butter</t>
        </is>
      </c>
      <c r="G264" s="22" t="n">
        <v>498</v>
      </c>
      <c r="H264" s="23" t="n">
        <v>55.6</v>
      </c>
      <c r="I264" s="23" t="n">
        <v>27688.8</v>
      </c>
      <c r="J264" s="23" t="n">
        <v>19123.2</v>
      </c>
      <c r="K264">
        <f>IF(OR(COUNTIF($A$5:A264,A264)&gt;1,G264&lt;0,C264="",B264&lt;'Work 1'!$C$6,B264&gt;'Work 1'!$C$7,H264&gt;'Work 1'!$C$8*AVERAGEIF($F$5:$F$1014,F264,$H$5:$H$1014)),"Excl",IF(B264&gt;='Work 1'!$C$5,"LTM","Prior"))</f>
        <v/>
      </c>
      <c r="L264">
        <f>I264-J264</f>
        <v/>
      </c>
    </row>
    <row r="265" ht="14.25" customHeight="1" s="54">
      <c r="A265" s="20" t="inlineStr">
        <is>
          <t>BH-40259</t>
        </is>
      </c>
      <c r="B265" s="21" t="n">
        <v>45658</v>
      </c>
      <c r="C265" s="20" t="inlineStr">
        <is>
          <t>C01</t>
        </is>
      </c>
      <c r="D265" s="20" t="inlineStr">
        <is>
          <t>Northfield Markets</t>
        </is>
      </c>
      <c r="E265" s="20" t="inlineStr">
        <is>
          <t>Grocery</t>
        </is>
      </c>
      <c r="F265" s="20" t="inlineStr">
        <is>
          <t>Granola</t>
        </is>
      </c>
      <c r="G265" s="22" t="n">
        <v>14464</v>
      </c>
      <c r="H265" s="23" t="n">
        <v>39.29</v>
      </c>
      <c r="I265" s="23" t="n">
        <v>568290.5600000001</v>
      </c>
      <c r="J265" s="23" t="n">
        <v>377510.4</v>
      </c>
      <c r="K265">
        <f>IF(OR(COUNTIF($A$5:A265,A265)&gt;1,G265&lt;0,C265="",B265&lt;'Work 1'!$C$6,B265&gt;'Work 1'!$C$7,H265&gt;'Work 1'!$C$8*AVERAGEIF($F$5:$F$1014,F265,$H$5:$H$1014)),"Excl",IF(B265&gt;='Work 1'!$C$5,"LTM","Prior"))</f>
        <v/>
      </c>
      <c r="L265">
        <f>I265-J265</f>
        <v/>
      </c>
    </row>
    <row r="266" ht="14.25" customHeight="1" s="54">
      <c r="A266" s="20" t="inlineStr">
        <is>
          <t>BH-40260</t>
        </is>
      </c>
      <c r="B266" s="21" t="n">
        <v>45658</v>
      </c>
      <c r="C266" s="20" t="inlineStr">
        <is>
          <t>C01</t>
        </is>
      </c>
      <c r="D266" s="20" t="inlineStr">
        <is>
          <t>Northfield Markets</t>
        </is>
      </c>
      <c r="E266" s="20" t="inlineStr">
        <is>
          <t>Grocery</t>
        </is>
      </c>
      <c r="F266" s="20" t="inlineStr">
        <is>
          <t>Nut Butter</t>
        </is>
      </c>
      <c r="G266" s="22" t="n">
        <v>7144</v>
      </c>
      <c r="H266" s="23" t="n">
        <v>52.26</v>
      </c>
      <c r="I266" s="23" t="n">
        <v>373345.44</v>
      </c>
      <c r="J266" s="23" t="n">
        <v>274329.6</v>
      </c>
      <c r="K266">
        <f>IF(OR(COUNTIF($A$5:A266,A266)&gt;1,G266&lt;0,C266="",B266&lt;'Work 1'!$C$6,B266&gt;'Work 1'!$C$7,H266&gt;'Work 1'!$C$8*AVERAGEIF($F$5:$F$1014,F266,$H$5:$H$1014)),"Excl",IF(B266&gt;='Work 1'!$C$5,"LTM","Prior"))</f>
        <v/>
      </c>
      <c r="L266">
        <f>I266-J266</f>
        <v/>
      </c>
    </row>
    <row r="267" ht="14.25" customHeight="1" s="54">
      <c r="A267" s="20" t="inlineStr">
        <is>
          <t>BH-40261</t>
        </is>
      </c>
      <c r="B267" s="21" t="n">
        <v>45658</v>
      </c>
      <c r="C267" s="20" t="inlineStr">
        <is>
          <t>C01</t>
        </is>
      </c>
      <c r="D267" s="20" t="inlineStr">
        <is>
          <t>Northfield Markets</t>
        </is>
      </c>
      <c r="E267" s="20" t="inlineStr">
        <is>
          <t>Grocery</t>
        </is>
      </c>
      <c r="F267" s="20" t="inlineStr">
        <is>
          <t>Snack Bars</t>
        </is>
      </c>
      <c r="G267" s="22" t="n">
        <v>10206</v>
      </c>
      <c r="H267" s="23" t="n">
        <v>30.46</v>
      </c>
      <c r="I267" s="23" t="n">
        <v>310874.76</v>
      </c>
      <c r="J267" s="23" t="n">
        <v>202078.8</v>
      </c>
      <c r="K267">
        <f>IF(OR(COUNTIF($A$5:A267,A267)&gt;1,G267&lt;0,C267="",B267&lt;'Work 1'!$C$6,B267&gt;'Work 1'!$C$7,H267&gt;'Work 1'!$C$8*AVERAGEIF($F$5:$F$1014,F267,$H$5:$H$1014)),"Excl",IF(B267&gt;='Work 1'!$C$5,"LTM","Prior"))</f>
        <v/>
      </c>
      <c r="L267">
        <f>I267-J267</f>
        <v/>
      </c>
    </row>
    <row r="268" ht="14.25" customHeight="1" s="54">
      <c r="A268" s="20" t="inlineStr">
        <is>
          <t>BH-40262</t>
        </is>
      </c>
      <c r="B268" s="21" t="n">
        <v>45658</v>
      </c>
      <c r="C268" s="20" t="inlineStr">
        <is>
          <t>C02</t>
        </is>
      </c>
      <c r="D268" s="20" t="inlineStr">
        <is>
          <t>Crestline Grocers</t>
        </is>
      </c>
      <c r="E268" s="20" t="inlineStr">
        <is>
          <t>Grocery</t>
        </is>
      </c>
      <c r="F268" s="20" t="inlineStr">
        <is>
          <t>Granola</t>
        </is>
      </c>
      <c r="G268" s="22" t="n">
        <v>3970</v>
      </c>
      <c r="H268" s="23" t="n">
        <v>40.55</v>
      </c>
      <c r="I268" s="23" t="n">
        <v>160983.5</v>
      </c>
      <c r="J268" s="23" t="n">
        <v>103617</v>
      </c>
      <c r="K268">
        <f>IF(OR(COUNTIF($A$5:A268,A268)&gt;1,G268&lt;0,C268="",B268&lt;'Work 1'!$C$6,B268&gt;'Work 1'!$C$7,H268&gt;'Work 1'!$C$8*AVERAGEIF($F$5:$F$1014,F268,$H$5:$H$1014)),"Excl",IF(B268&gt;='Work 1'!$C$5,"LTM","Prior"))</f>
        <v/>
      </c>
      <c r="L268">
        <f>I268-J268</f>
        <v/>
      </c>
    </row>
    <row r="269" ht="14.25" customHeight="1" s="54">
      <c r="A269" s="20" t="inlineStr">
        <is>
          <t>BH-40263</t>
        </is>
      </c>
      <c r="B269" s="21" t="n">
        <v>45658</v>
      </c>
      <c r="C269" s="20" t="inlineStr">
        <is>
          <t>C02</t>
        </is>
      </c>
      <c r="D269" s="20" t="inlineStr">
        <is>
          <t>Crestline Grocers</t>
        </is>
      </c>
      <c r="E269" s="20" t="inlineStr">
        <is>
          <t>Grocery</t>
        </is>
      </c>
      <c r="F269" s="20" t="inlineStr">
        <is>
          <t>Nut Butter</t>
        </is>
      </c>
      <c r="G269" s="22" t="n">
        <v>2083</v>
      </c>
      <c r="H269" s="23" t="n">
        <v>53.93</v>
      </c>
      <c r="I269" s="23" t="n">
        <v>112336.19</v>
      </c>
      <c r="J269" s="23" t="n">
        <v>79987.2</v>
      </c>
      <c r="K269">
        <f>IF(OR(COUNTIF($A$5:A269,A269)&gt;1,G269&lt;0,C269="",B269&lt;'Work 1'!$C$6,B269&gt;'Work 1'!$C$7,H269&gt;'Work 1'!$C$8*AVERAGEIF($F$5:$F$1014,F269,$H$5:$H$1014)),"Excl",IF(B269&gt;='Work 1'!$C$5,"LTM","Prior"))</f>
        <v/>
      </c>
      <c r="L269">
        <f>I269-J269</f>
        <v/>
      </c>
    </row>
    <row r="270" ht="14.25" customHeight="1" s="54">
      <c r="A270" s="20" t="inlineStr">
        <is>
          <t>BH-40264</t>
        </is>
      </c>
      <c r="B270" s="21" t="n">
        <v>45658</v>
      </c>
      <c r="C270" s="20" t="inlineStr">
        <is>
          <t>C02</t>
        </is>
      </c>
      <c r="D270" s="20" t="inlineStr">
        <is>
          <t>Crestline Grocers</t>
        </is>
      </c>
      <c r="E270" s="20" t="inlineStr">
        <is>
          <t>Grocery</t>
        </is>
      </c>
      <c r="F270" s="20" t="inlineStr">
        <is>
          <t>Snack Bars</t>
        </is>
      </c>
      <c r="G270" s="22" t="n">
        <v>3448</v>
      </c>
      <c r="H270" s="23" t="n">
        <v>31.43</v>
      </c>
      <c r="I270" s="23" t="n">
        <v>108370.64</v>
      </c>
      <c r="J270" s="23" t="n">
        <v>68270.39999999999</v>
      </c>
      <c r="K270">
        <f>IF(OR(COUNTIF($A$5:A270,A270)&gt;1,G270&lt;0,C270="",B270&lt;'Work 1'!$C$6,B270&gt;'Work 1'!$C$7,H270&gt;'Work 1'!$C$8*AVERAGEIF($F$5:$F$1014,F270,$H$5:$H$1014)),"Excl",IF(B270&gt;='Work 1'!$C$5,"LTM","Prior"))</f>
        <v/>
      </c>
      <c r="L270">
        <f>I270-J270</f>
        <v/>
      </c>
    </row>
    <row r="271" ht="14.25" customHeight="1" s="54">
      <c r="A271" s="20" t="inlineStr">
        <is>
          <t>BH-40265</t>
        </is>
      </c>
      <c r="B271" s="21" t="n">
        <v>45658</v>
      </c>
      <c r="C271" s="20" t="inlineStr">
        <is>
          <t>C03</t>
        </is>
      </c>
      <c r="D271" s="20" t="inlineStr">
        <is>
          <t>ValuClub Warehouse</t>
        </is>
      </c>
      <c r="E271" s="20" t="inlineStr">
        <is>
          <t>Club</t>
        </is>
      </c>
      <c r="F271" s="20" t="inlineStr">
        <is>
          <t>Granola</t>
        </is>
      </c>
      <c r="G271" s="22" t="n">
        <v>12355</v>
      </c>
      <c r="H271" s="23" t="n">
        <v>35.9</v>
      </c>
      <c r="I271" s="23" t="n">
        <v>443544.5</v>
      </c>
      <c r="J271" s="23" t="n">
        <v>322465.5</v>
      </c>
      <c r="K271">
        <f>IF(OR(COUNTIF($A$5:A271,A271)&gt;1,G271&lt;0,C271="",B271&lt;'Work 1'!$C$6,B271&gt;'Work 1'!$C$7,H271&gt;'Work 1'!$C$8*AVERAGEIF($F$5:$F$1014,F271,$H$5:$H$1014)),"Excl",IF(B271&gt;='Work 1'!$C$5,"LTM","Prior"))</f>
        <v/>
      </c>
      <c r="L271">
        <f>I271-J271</f>
        <v/>
      </c>
    </row>
    <row r="272" ht="14.25" customHeight="1" s="54">
      <c r="A272" s="20" t="inlineStr">
        <is>
          <t>BH-40266</t>
        </is>
      </c>
      <c r="B272" s="21" t="n">
        <v>45658</v>
      </c>
      <c r="C272" s="20" t="inlineStr">
        <is>
          <t>C03</t>
        </is>
      </c>
      <c r="D272" s="20" t="inlineStr">
        <is>
          <t>ValuClub Warehouse</t>
        </is>
      </c>
      <c r="E272" s="20" t="inlineStr">
        <is>
          <t>Club</t>
        </is>
      </c>
      <c r="F272" s="20" t="inlineStr">
        <is>
          <t>Snack Bars</t>
        </is>
      </c>
      <c r="G272" s="22" t="n">
        <v>13842</v>
      </c>
      <c r="H272" s="23" t="n">
        <v>27.4</v>
      </c>
      <c r="I272" s="23" t="n">
        <v>379270.8</v>
      </c>
      <c r="J272" s="23" t="n">
        <v>274071.6</v>
      </c>
      <c r="K272">
        <f>IF(OR(COUNTIF($A$5:A272,A272)&gt;1,G272&lt;0,C272="",B272&lt;'Work 1'!$C$6,B272&gt;'Work 1'!$C$7,H272&gt;'Work 1'!$C$8*AVERAGEIF($F$5:$F$1014,F272,$H$5:$H$1014)),"Excl",IF(B272&gt;='Work 1'!$C$5,"LTM","Prior"))</f>
        <v/>
      </c>
      <c r="L272">
        <f>I272-J272</f>
        <v/>
      </c>
    </row>
    <row r="273" ht="14.25" customHeight="1" s="54">
      <c r="A273" s="20" t="inlineStr">
        <is>
          <t>BH-40267</t>
        </is>
      </c>
      <c r="B273" s="21" t="n">
        <v>45658</v>
      </c>
      <c r="C273" s="20" t="inlineStr">
        <is>
          <t>C04</t>
        </is>
      </c>
      <c r="D273" s="20" t="inlineStr">
        <is>
          <t>Harvest Lane Co-op</t>
        </is>
      </c>
      <c r="E273" s="20" t="inlineStr">
        <is>
          <t>Grocery</t>
        </is>
      </c>
      <c r="F273" s="20" t="inlineStr">
        <is>
          <t>Granola</t>
        </is>
      </c>
      <c r="G273" s="22" t="n">
        <v>2863</v>
      </c>
      <c r="H273" s="23" t="n">
        <v>41.8</v>
      </c>
      <c r="I273" s="23" t="n">
        <v>119673.4</v>
      </c>
      <c r="J273" s="23" t="n">
        <v>74724.3</v>
      </c>
      <c r="K273">
        <f>IF(OR(COUNTIF($A$5:A273,A273)&gt;1,G273&lt;0,C273="",B273&lt;'Work 1'!$C$6,B273&gt;'Work 1'!$C$7,H273&gt;'Work 1'!$C$8*AVERAGEIF($F$5:$F$1014,F273,$H$5:$H$1014)),"Excl",IF(B273&gt;='Work 1'!$C$5,"LTM","Prior"))</f>
        <v/>
      </c>
      <c r="L273">
        <f>I273-J273</f>
        <v/>
      </c>
    </row>
    <row r="274" ht="14.25" customHeight="1" s="54">
      <c r="A274" s="20" t="inlineStr">
        <is>
          <t>BH-40268</t>
        </is>
      </c>
      <c r="B274" s="21" t="n">
        <v>45658</v>
      </c>
      <c r="C274" s="20" t="inlineStr">
        <is>
          <t>C04</t>
        </is>
      </c>
      <c r="D274" s="20" t="inlineStr">
        <is>
          <t>Harvest Lane Co-op</t>
        </is>
      </c>
      <c r="E274" s="20" t="inlineStr">
        <is>
          <t>Grocery</t>
        </is>
      </c>
      <c r="F274" s="20" t="inlineStr">
        <is>
          <t>Nut Butter</t>
        </is>
      </c>
      <c r="G274" s="22" t="n">
        <v>1602</v>
      </c>
      <c r="H274" s="23" t="n">
        <v>55.6</v>
      </c>
      <c r="I274" s="23" t="n">
        <v>89071.2</v>
      </c>
      <c r="J274" s="23" t="n">
        <v>61516.8</v>
      </c>
      <c r="K274">
        <f>IF(OR(COUNTIF($A$5:A274,A274)&gt;1,G274&lt;0,C274="",B274&lt;'Work 1'!$C$6,B274&gt;'Work 1'!$C$7,H274&gt;'Work 1'!$C$8*AVERAGEIF($F$5:$F$1014,F274,$H$5:$H$1014)),"Excl",IF(B274&gt;='Work 1'!$C$5,"LTM","Prior"))</f>
        <v/>
      </c>
      <c r="L274">
        <f>I274-J274</f>
        <v/>
      </c>
    </row>
    <row r="275" ht="14.25" customHeight="1" s="54">
      <c r="A275" s="20" t="inlineStr">
        <is>
          <t>BH-40269</t>
        </is>
      </c>
      <c r="B275" s="21" t="n">
        <v>45658</v>
      </c>
      <c r="C275" s="20" t="inlineStr">
        <is>
          <t>C04</t>
        </is>
      </c>
      <c r="D275" s="20" t="inlineStr">
        <is>
          <t>Harvest Lane Co-op</t>
        </is>
      </c>
      <c r="E275" s="20" t="inlineStr">
        <is>
          <t>Grocery</t>
        </is>
      </c>
      <c r="F275" s="20" t="inlineStr">
        <is>
          <t>Snack Bars</t>
        </is>
      </c>
      <c r="G275" s="22" t="n">
        <v>1897</v>
      </c>
      <c r="H275" s="23" t="n">
        <v>32.4</v>
      </c>
      <c r="I275" s="23" t="n">
        <v>61462.8</v>
      </c>
      <c r="J275" s="23" t="n">
        <v>37560.6</v>
      </c>
      <c r="K275">
        <f>IF(OR(COUNTIF($A$5:A275,A275)&gt;1,G275&lt;0,C275="",B275&lt;'Work 1'!$C$6,B275&gt;'Work 1'!$C$7,H275&gt;'Work 1'!$C$8*AVERAGEIF($F$5:$F$1014,F275,$H$5:$H$1014)),"Excl",IF(B275&gt;='Work 1'!$C$5,"LTM","Prior"))</f>
        <v/>
      </c>
      <c r="L275">
        <f>I275-J275</f>
        <v/>
      </c>
    </row>
    <row r="276" ht="14.25" customHeight="1" s="54">
      <c r="A276" s="20" t="inlineStr">
        <is>
          <t>BH-40270</t>
        </is>
      </c>
      <c r="B276" s="21" t="n">
        <v>45658</v>
      </c>
      <c r="C276" s="20" t="inlineStr">
        <is>
          <t>C05</t>
        </is>
      </c>
      <c r="D276" s="20" t="inlineStr">
        <is>
          <t>Pioneer Foods Distribution</t>
        </is>
      </c>
      <c r="E276" s="20" t="inlineStr">
        <is>
          <t>Grocery</t>
        </is>
      </c>
      <c r="F276" s="20" t="inlineStr">
        <is>
          <t>Granola</t>
        </is>
      </c>
      <c r="G276" s="22" t="n">
        <v>3597</v>
      </c>
      <c r="H276" s="23" t="n">
        <v>37.62</v>
      </c>
      <c r="I276" s="23" t="n">
        <v>135319.14</v>
      </c>
      <c r="J276" s="23" t="n">
        <v>93881.7</v>
      </c>
      <c r="K276">
        <f>IF(OR(COUNTIF($A$5:A276,A276)&gt;1,G276&lt;0,C276="",B276&lt;'Work 1'!$C$6,B276&gt;'Work 1'!$C$7,H276&gt;'Work 1'!$C$8*AVERAGEIF($F$5:$F$1014,F276,$H$5:$H$1014)),"Excl",IF(B276&gt;='Work 1'!$C$5,"LTM","Prior"))</f>
        <v/>
      </c>
      <c r="L276">
        <f>I276-J276</f>
        <v/>
      </c>
    </row>
    <row r="277" ht="14.25" customHeight="1" s="54">
      <c r="A277" s="20" t="inlineStr">
        <is>
          <t>BH-40271</t>
        </is>
      </c>
      <c r="B277" s="21" t="n">
        <v>45658</v>
      </c>
      <c r="C277" s="20" t="inlineStr">
        <is>
          <t>C05</t>
        </is>
      </c>
      <c r="D277" s="20" t="inlineStr">
        <is>
          <t>Pioneer Foods Distribution</t>
        </is>
      </c>
      <c r="E277" s="20" t="inlineStr">
        <is>
          <t>Grocery</t>
        </is>
      </c>
      <c r="F277" s="20" t="inlineStr">
        <is>
          <t>Nut Butter</t>
        </is>
      </c>
      <c r="G277" s="22" t="n">
        <v>2103</v>
      </c>
      <c r="H277" s="23" t="n">
        <v>50.04</v>
      </c>
      <c r="I277" s="23" t="n">
        <v>105234.12</v>
      </c>
      <c r="J277" s="23" t="n">
        <v>80755.2</v>
      </c>
      <c r="K277">
        <f>IF(OR(COUNTIF($A$5:A277,A277)&gt;1,G277&lt;0,C277="",B277&lt;'Work 1'!$C$6,B277&gt;'Work 1'!$C$7,H277&gt;'Work 1'!$C$8*AVERAGEIF($F$5:$F$1014,F277,$H$5:$H$1014)),"Excl",IF(B277&gt;='Work 1'!$C$5,"LTM","Prior"))</f>
        <v/>
      </c>
      <c r="L277">
        <f>I277-J277</f>
        <v/>
      </c>
    </row>
    <row r="278" ht="14.25" customHeight="1" s="54">
      <c r="A278" s="20" t="inlineStr">
        <is>
          <t>BH-40272</t>
        </is>
      </c>
      <c r="B278" s="21" t="n">
        <v>45658</v>
      </c>
      <c r="C278" s="20" t="inlineStr">
        <is>
          <t>C05</t>
        </is>
      </c>
      <c r="D278" s="20" t="inlineStr">
        <is>
          <t>Pioneer Foods Distribution</t>
        </is>
      </c>
      <c r="E278" s="20" t="inlineStr">
        <is>
          <t>Grocery</t>
        </is>
      </c>
      <c r="F278" s="20" t="inlineStr">
        <is>
          <t>Snack Bars</t>
        </is>
      </c>
      <c r="G278" s="22" t="n">
        <v>3215</v>
      </c>
      <c r="H278" s="23" t="n">
        <v>29.16</v>
      </c>
      <c r="I278" s="23" t="n">
        <v>93749.39999999999</v>
      </c>
      <c r="J278" s="23" t="n">
        <v>63657</v>
      </c>
      <c r="K278">
        <f>IF(OR(COUNTIF($A$5:A278,A278)&gt;1,G278&lt;0,C278="",B278&lt;'Work 1'!$C$6,B278&gt;'Work 1'!$C$7,H278&gt;'Work 1'!$C$8*AVERAGEIF($F$5:$F$1014,F278,$H$5:$H$1014)),"Excl",IF(B278&gt;='Work 1'!$C$5,"LTM","Prior"))</f>
        <v/>
      </c>
      <c r="L278">
        <f>I278-J278</f>
        <v/>
      </c>
    </row>
    <row r="279" ht="14.25" customHeight="1" s="54">
      <c r="A279" s="20" t="inlineStr">
        <is>
          <t>BH-40273</t>
        </is>
      </c>
      <c r="B279" s="21" t="n">
        <v>45658</v>
      </c>
      <c r="C279" s="20" t="inlineStr">
        <is>
          <t>C06</t>
        </is>
      </c>
      <c r="D279" s="20" t="inlineStr">
        <is>
          <t>Summit Club Stores</t>
        </is>
      </c>
      <c r="E279" s="20" t="inlineStr">
        <is>
          <t>Club</t>
        </is>
      </c>
      <c r="F279" s="20" t="inlineStr">
        <is>
          <t>Granola</t>
        </is>
      </c>
      <c r="G279" s="22" t="n">
        <v>4885</v>
      </c>
      <c r="H279" s="23" t="n">
        <v>35.9</v>
      </c>
      <c r="I279" s="23" t="n">
        <v>175371.5</v>
      </c>
      <c r="J279" s="23" t="n">
        <v>127498.5</v>
      </c>
      <c r="K279">
        <f>IF(OR(COUNTIF($A$5:A279,A279)&gt;1,G279&lt;0,C279="",B279&lt;'Work 1'!$C$6,B279&gt;'Work 1'!$C$7,H279&gt;'Work 1'!$C$8*AVERAGEIF($F$5:$F$1014,F279,$H$5:$H$1014)),"Excl",IF(B279&gt;='Work 1'!$C$5,"LTM","Prior"))</f>
        <v/>
      </c>
      <c r="L279">
        <f>I279-J279</f>
        <v/>
      </c>
    </row>
    <row r="280" ht="14.25" customHeight="1" s="54">
      <c r="A280" s="20" t="inlineStr">
        <is>
          <t>BH-40274</t>
        </is>
      </c>
      <c r="B280" s="21" t="n">
        <v>45658</v>
      </c>
      <c r="C280" s="20" t="inlineStr">
        <is>
          <t>C06</t>
        </is>
      </c>
      <c r="D280" s="20" t="inlineStr">
        <is>
          <t>Summit Club Stores</t>
        </is>
      </c>
      <c r="E280" s="20" t="inlineStr">
        <is>
          <t>Club</t>
        </is>
      </c>
      <c r="F280" s="20" t="inlineStr">
        <is>
          <t>Nut Butter</t>
        </is>
      </c>
      <c r="G280" s="22" t="n">
        <v>2708</v>
      </c>
      <c r="H280" s="23" t="n">
        <v>47.8</v>
      </c>
      <c r="I280" s="23" t="n">
        <v>129442.4</v>
      </c>
      <c r="J280" s="23" t="n">
        <v>103987.2</v>
      </c>
      <c r="K280">
        <f>IF(OR(COUNTIF($A$5:A280,A280)&gt;1,G280&lt;0,C280="",B280&lt;'Work 1'!$C$6,B280&gt;'Work 1'!$C$7,H280&gt;'Work 1'!$C$8*AVERAGEIF($F$5:$F$1014,F280,$H$5:$H$1014)),"Excl",IF(B280&gt;='Work 1'!$C$5,"LTM","Prior"))</f>
        <v/>
      </c>
      <c r="L280">
        <f>I280-J280</f>
        <v/>
      </c>
    </row>
    <row r="281" ht="14.25" customHeight="1" s="54">
      <c r="A281" s="20" t="inlineStr">
        <is>
          <t>BH-40275</t>
        </is>
      </c>
      <c r="B281" s="21" t="n">
        <v>45658</v>
      </c>
      <c r="C281" s="20" t="inlineStr">
        <is>
          <t>C07</t>
        </is>
      </c>
      <c r="D281" s="20" t="inlineStr">
        <is>
          <t>Bramble Hill Online Store</t>
        </is>
      </c>
      <c r="E281" s="20" t="inlineStr">
        <is>
          <t>Online</t>
        </is>
      </c>
      <c r="F281" s="20" t="inlineStr">
        <is>
          <t>Granola</t>
        </is>
      </c>
      <c r="G281" s="22" t="n">
        <v>3477</v>
      </c>
      <c r="H281" s="23" t="n">
        <v>47.5</v>
      </c>
      <c r="I281" s="23" t="n">
        <v>165157.5</v>
      </c>
      <c r="J281" s="23" t="n">
        <v>90749.7</v>
      </c>
      <c r="K281">
        <f>IF(OR(COUNTIF($A$5:A281,A281)&gt;1,G281&lt;0,C281="",B281&lt;'Work 1'!$C$6,B281&gt;'Work 1'!$C$7,H281&gt;'Work 1'!$C$8*AVERAGEIF($F$5:$F$1014,F281,$H$5:$H$1014)),"Excl",IF(B281&gt;='Work 1'!$C$5,"LTM","Prior"))</f>
        <v/>
      </c>
      <c r="L281">
        <f>I281-J281</f>
        <v/>
      </c>
    </row>
    <row r="282" ht="14.25" customHeight="1" s="54">
      <c r="A282" s="20" t="inlineStr">
        <is>
          <t>BH-40276</t>
        </is>
      </c>
      <c r="B282" s="21" t="n">
        <v>45658</v>
      </c>
      <c r="C282" s="20" t="inlineStr">
        <is>
          <t>C07</t>
        </is>
      </c>
      <c r="D282" s="20" t="inlineStr">
        <is>
          <t>Bramble Hill Online Store</t>
        </is>
      </c>
      <c r="E282" s="20" t="inlineStr">
        <is>
          <t>Online</t>
        </is>
      </c>
      <c r="F282" s="20" t="inlineStr">
        <is>
          <t>Nut Butter</t>
        </is>
      </c>
      <c r="G282" s="22" t="n">
        <v>2036</v>
      </c>
      <c r="H282" s="23" t="n">
        <v>61.9</v>
      </c>
      <c r="I282" s="23" t="n">
        <v>126028.4</v>
      </c>
      <c r="J282" s="23" t="n">
        <v>78182.39999999999</v>
      </c>
      <c r="K282">
        <f>IF(OR(COUNTIF($A$5:A282,A282)&gt;1,G282&lt;0,C282="",B282&lt;'Work 1'!$C$6,B282&gt;'Work 1'!$C$7,H282&gt;'Work 1'!$C$8*AVERAGEIF($F$5:$F$1014,F282,$H$5:$H$1014)),"Excl",IF(B282&gt;='Work 1'!$C$5,"LTM","Prior"))</f>
        <v/>
      </c>
      <c r="L282">
        <f>I282-J282</f>
        <v/>
      </c>
    </row>
    <row r="283" ht="14.25" customHeight="1" s="54">
      <c r="A283" s="20" t="inlineStr">
        <is>
          <t>BH-40277</t>
        </is>
      </c>
      <c r="B283" s="21" t="n">
        <v>45658</v>
      </c>
      <c r="C283" s="20" t="inlineStr">
        <is>
          <t>C07</t>
        </is>
      </c>
      <c r="D283" s="20" t="inlineStr">
        <is>
          <t>Bramble Hill Online Store</t>
        </is>
      </c>
      <c r="E283" s="20" t="inlineStr">
        <is>
          <t>Online</t>
        </is>
      </c>
      <c r="F283" s="20" t="inlineStr">
        <is>
          <t>Snack Bars</t>
        </is>
      </c>
      <c r="G283" s="22" t="n">
        <v>2453</v>
      </c>
      <c r="H283" s="23" t="n">
        <v>37.8</v>
      </c>
      <c r="I283" s="23" t="n">
        <v>92723.39999999999</v>
      </c>
      <c r="J283" s="23" t="n">
        <v>48569.4</v>
      </c>
      <c r="K283">
        <f>IF(OR(COUNTIF($A$5:A283,A283)&gt;1,G283&lt;0,C283="",B283&lt;'Work 1'!$C$6,B283&gt;'Work 1'!$C$7,H283&gt;'Work 1'!$C$8*AVERAGEIF($F$5:$F$1014,F283,$H$5:$H$1014)),"Excl",IF(B283&gt;='Work 1'!$C$5,"LTM","Prior"))</f>
        <v/>
      </c>
      <c r="L283">
        <f>I283-J283</f>
        <v/>
      </c>
    </row>
    <row r="284" ht="14.25" customHeight="1" s="54">
      <c r="A284" s="20" t="inlineStr">
        <is>
          <t>BH-40278</t>
        </is>
      </c>
      <c r="B284" s="21" t="n">
        <v>45658</v>
      </c>
      <c r="C284" s="20" t="inlineStr">
        <is>
          <t>C08</t>
        </is>
      </c>
      <c r="D284" s="20" t="inlineStr">
        <is>
          <t>Online Marketplace</t>
        </is>
      </c>
      <c r="E284" s="20" t="inlineStr">
        <is>
          <t>Online</t>
        </is>
      </c>
      <c r="F284" s="20" t="inlineStr">
        <is>
          <t>Granola</t>
        </is>
      </c>
      <c r="G284" s="22" t="n">
        <v>3452</v>
      </c>
      <c r="H284" s="23" t="n">
        <v>41.8</v>
      </c>
      <c r="I284" s="23" t="n">
        <v>144293.6</v>
      </c>
      <c r="J284" s="23" t="n">
        <v>90097.2</v>
      </c>
      <c r="K284">
        <f>IF(OR(COUNTIF($A$5:A284,A284)&gt;1,G284&lt;0,C284="",B284&lt;'Work 1'!$C$6,B284&gt;'Work 1'!$C$7,H284&gt;'Work 1'!$C$8*AVERAGEIF($F$5:$F$1014,F284,$H$5:$H$1014)),"Excl",IF(B284&gt;='Work 1'!$C$5,"LTM","Prior"))</f>
        <v/>
      </c>
      <c r="L284">
        <f>I284-J284</f>
        <v/>
      </c>
    </row>
    <row r="285" ht="14.25" customHeight="1" s="54">
      <c r="A285" s="20" t="inlineStr">
        <is>
          <t>BH-40279</t>
        </is>
      </c>
      <c r="B285" s="21" t="n">
        <v>45658</v>
      </c>
      <c r="C285" s="20" t="inlineStr">
        <is>
          <t>C08</t>
        </is>
      </c>
      <c r="D285" s="20" t="inlineStr">
        <is>
          <t>Online Marketplace</t>
        </is>
      </c>
      <c r="E285" s="20" t="inlineStr">
        <is>
          <t>Online</t>
        </is>
      </c>
      <c r="F285" s="20" t="inlineStr">
        <is>
          <t>Nut Butter</t>
        </is>
      </c>
      <c r="G285" s="22" t="n">
        <v>1720</v>
      </c>
      <c r="H285" s="23" t="n">
        <v>54.47</v>
      </c>
      <c r="I285" s="23" t="n">
        <v>93688.39999999999</v>
      </c>
      <c r="J285" s="23" t="n">
        <v>66048</v>
      </c>
      <c r="K285">
        <f>IF(OR(COUNTIF($A$5:A285,A285)&gt;1,G285&lt;0,C285="",B285&lt;'Work 1'!$C$6,B285&gt;'Work 1'!$C$7,H285&gt;'Work 1'!$C$8*AVERAGEIF($F$5:$F$1014,F285,$H$5:$H$1014)),"Excl",IF(B285&gt;='Work 1'!$C$5,"LTM","Prior"))</f>
        <v/>
      </c>
      <c r="L285">
        <f>I285-J285</f>
        <v/>
      </c>
    </row>
    <row r="286" ht="14.25" customHeight="1" s="54">
      <c r="A286" s="20" t="inlineStr">
        <is>
          <t>BH-40280</t>
        </is>
      </c>
      <c r="B286" s="21" t="n">
        <v>45658</v>
      </c>
      <c r="C286" s="20" t="inlineStr">
        <is>
          <t>C08</t>
        </is>
      </c>
      <c r="D286" s="20" t="inlineStr">
        <is>
          <t>Online Marketplace</t>
        </is>
      </c>
      <c r="E286" s="20" t="inlineStr">
        <is>
          <t>Online</t>
        </is>
      </c>
      <c r="F286" s="20" t="inlineStr">
        <is>
          <t>Snack Bars</t>
        </is>
      </c>
      <c r="G286" s="22" t="n">
        <v>2884</v>
      </c>
      <c r="H286" s="23" t="n">
        <v>33.26</v>
      </c>
      <c r="I286" s="23" t="n">
        <v>95921.84</v>
      </c>
      <c r="J286" s="23" t="n">
        <v>57103.2</v>
      </c>
      <c r="K286">
        <f>IF(OR(COUNTIF($A$5:A286,A286)&gt;1,G286&lt;0,C286="",B286&lt;'Work 1'!$C$6,B286&gt;'Work 1'!$C$7,H286&gt;'Work 1'!$C$8*AVERAGEIF($F$5:$F$1014,F286,$H$5:$H$1014)),"Excl",IF(B286&gt;='Work 1'!$C$5,"LTM","Prior"))</f>
        <v/>
      </c>
      <c r="L286">
        <f>I286-J286</f>
        <v/>
      </c>
    </row>
    <row r="287" ht="14.25" customHeight="1" s="54">
      <c r="A287" s="20" t="inlineStr">
        <is>
          <t>BH-40281</t>
        </is>
      </c>
      <c r="B287" s="21" t="n">
        <v>45658</v>
      </c>
      <c r="C287" s="20" t="inlineStr">
        <is>
          <t>C09</t>
        </is>
      </c>
      <c r="D287" s="20" t="inlineStr">
        <is>
          <t>Maple Ridge Grocers</t>
        </is>
      </c>
      <c r="E287" s="20" t="inlineStr">
        <is>
          <t>Grocery</t>
        </is>
      </c>
      <c r="F287" s="20" t="inlineStr">
        <is>
          <t>Granola</t>
        </is>
      </c>
      <c r="G287" s="22" t="n">
        <v>1704</v>
      </c>
      <c r="H287" s="23" t="n">
        <v>41.8</v>
      </c>
      <c r="I287" s="23" t="n">
        <v>71227.2</v>
      </c>
      <c r="J287" s="23" t="n">
        <v>44474.4</v>
      </c>
      <c r="K287">
        <f>IF(OR(COUNTIF($A$5:A287,A287)&gt;1,G287&lt;0,C287="",B287&lt;'Work 1'!$C$6,B287&gt;'Work 1'!$C$7,H287&gt;'Work 1'!$C$8*AVERAGEIF($F$5:$F$1014,F287,$H$5:$H$1014)),"Excl",IF(B287&gt;='Work 1'!$C$5,"LTM","Prior"))</f>
        <v/>
      </c>
      <c r="L287">
        <f>I287-J287</f>
        <v/>
      </c>
    </row>
    <row r="288" ht="14.25" customHeight="1" s="54">
      <c r="A288" s="20" t="inlineStr">
        <is>
          <t>BH-40282</t>
        </is>
      </c>
      <c r="B288" s="21" t="n">
        <v>45658</v>
      </c>
      <c r="C288" s="20" t="inlineStr">
        <is>
          <t>C09</t>
        </is>
      </c>
      <c r="D288" s="20" t="inlineStr">
        <is>
          <t>Maple Ridge Grocers</t>
        </is>
      </c>
      <c r="E288" s="20" t="inlineStr">
        <is>
          <t>Grocery</t>
        </is>
      </c>
      <c r="F288" s="20" t="inlineStr">
        <is>
          <t>Snack Bars</t>
        </is>
      </c>
      <c r="G288" s="22" t="n">
        <v>1313</v>
      </c>
      <c r="H288" s="23" t="n">
        <v>32.4</v>
      </c>
      <c r="I288" s="23" t="n">
        <v>42541.2</v>
      </c>
      <c r="J288" s="23" t="n">
        <v>25997.4</v>
      </c>
      <c r="K288">
        <f>IF(OR(COUNTIF($A$5:A288,A288)&gt;1,G288&lt;0,C288="",B288&lt;'Work 1'!$C$6,B288&gt;'Work 1'!$C$7,H288&gt;'Work 1'!$C$8*AVERAGEIF($F$5:$F$1014,F288,$H$5:$H$1014)),"Excl",IF(B288&gt;='Work 1'!$C$5,"LTM","Prior"))</f>
        <v/>
      </c>
      <c r="L288">
        <f>I288-J288</f>
        <v/>
      </c>
    </row>
    <row r="289" ht="14.25" customHeight="1" s="54">
      <c r="A289" s="20" t="inlineStr">
        <is>
          <t>BH-40283</t>
        </is>
      </c>
      <c r="B289" s="21" t="n">
        <v>45658</v>
      </c>
      <c r="C289" s="20" t="inlineStr">
        <is>
          <t>C10</t>
        </is>
      </c>
      <c r="D289" s="20" t="inlineStr">
        <is>
          <t>Lakeshore Foods</t>
        </is>
      </c>
      <c r="E289" s="20" t="inlineStr">
        <is>
          <t>Grocery</t>
        </is>
      </c>
      <c r="F289" s="20" t="inlineStr">
        <is>
          <t>Granola</t>
        </is>
      </c>
      <c r="G289" s="22" t="n">
        <v>1472</v>
      </c>
      <c r="H289" s="23" t="n">
        <v>41.8</v>
      </c>
      <c r="I289" s="23" t="n">
        <v>61529.6</v>
      </c>
      <c r="J289" s="23" t="n">
        <v>38419.2</v>
      </c>
      <c r="K289">
        <f>IF(OR(COUNTIF($A$5:A289,A289)&gt;1,G289&lt;0,C289="",B289&lt;'Work 1'!$C$6,B289&gt;'Work 1'!$C$7,H289&gt;'Work 1'!$C$8*AVERAGEIF($F$5:$F$1014,F289,$H$5:$H$1014)),"Excl",IF(B289&gt;='Work 1'!$C$5,"LTM","Prior"))</f>
        <v/>
      </c>
      <c r="L289">
        <f>I289-J289</f>
        <v/>
      </c>
    </row>
    <row r="290" ht="14.25" customHeight="1" s="54">
      <c r="A290" s="20" t="inlineStr">
        <is>
          <t>BH-40284</t>
        </is>
      </c>
      <c r="B290" s="21" t="n">
        <v>45658</v>
      </c>
      <c r="C290" s="20" t="inlineStr">
        <is>
          <t>C10</t>
        </is>
      </c>
      <c r="D290" s="20" t="inlineStr">
        <is>
          <t>Lakeshore Foods</t>
        </is>
      </c>
      <c r="E290" s="20" t="inlineStr">
        <is>
          <t>Grocery</t>
        </is>
      </c>
      <c r="F290" s="20" t="inlineStr">
        <is>
          <t>Nut Butter</t>
        </is>
      </c>
      <c r="G290" s="22" t="n">
        <v>617</v>
      </c>
      <c r="H290" s="23" t="n">
        <v>55.6</v>
      </c>
      <c r="I290" s="23" t="n">
        <v>34305.2</v>
      </c>
      <c r="J290" s="23" t="n">
        <v>23692.8</v>
      </c>
      <c r="K290">
        <f>IF(OR(COUNTIF($A$5:A290,A290)&gt;1,G290&lt;0,C290="",B290&lt;'Work 1'!$C$6,B290&gt;'Work 1'!$C$7,H290&gt;'Work 1'!$C$8*AVERAGEIF($F$5:$F$1014,F290,$H$5:$H$1014)),"Excl",IF(B290&gt;='Work 1'!$C$5,"LTM","Prior"))</f>
        <v/>
      </c>
      <c r="L290">
        <f>I290-J290</f>
        <v/>
      </c>
    </row>
    <row r="291" ht="14.25" customHeight="1" s="54">
      <c r="A291" s="20" t="inlineStr">
        <is>
          <t>BH-40285</t>
        </is>
      </c>
      <c r="B291" s="21" t="n">
        <v>45658</v>
      </c>
      <c r="C291" s="20" t="inlineStr">
        <is>
          <t>C11</t>
        </is>
      </c>
      <c r="D291" s="20" t="inlineStr">
        <is>
          <t>Copper Valley Market</t>
        </is>
      </c>
      <c r="E291" s="20" t="inlineStr">
        <is>
          <t>Grocery</t>
        </is>
      </c>
      <c r="F291" s="20" t="inlineStr">
        <is>
          <t>Granola</t>
        </is>
      </c>
      <c r="G291" s="22" t="n">
        <v>1213</v>
      </c>
      <c r="H291" s="23" t="n">
        <v>41.8</v>
      </c>
      <c r="I291" s="23" t="n">
        <v>50703.4</v>
      </c>
      <c r="J291" s="23" t="n">
        <v>31659.3</v>
      </c>
      <c r="K291">
        <f>IF(OR(COUNTIF($A$5:A291,A291)&gt;1,G291&lt;0,C291="",B291&lt;'Work 1'!$C$6,B291&gt;'Work 1'!$C$7,H291&gt;'Work 1'!$C$8*AVERAGEIF($F$5:$F$1014,F291,$H$5:$H$1014)),"Excl",IF(B291&gt;='Work 1'!$C$5,"LTM","Prior"))</f>
        <v/>
      </c>
      <c r="L291">
        <f>I291-J291</f>
        <v/>
      </c>
    </row>
    <row r="292" ht="14.25" customHeight="1" s="54">
      <c r="A292" s="20" t="inlineStr">
        <is>
          <t>BH-40286</t>
        </is>
      </c>
      <c r="B292" s="21" t="n">
        <v>45658</v>
      </c>
      <c r="C292" s="20" t="inlineStr">
        <is>
          <t>C11</t>
        </is>
      </c>
      <c r="D292" s="20" t="inlineStr">
        <is>
          <t>Copper Valley Market</t>
        </is>
      </c>
      <c r="E292" s="20" t="inlineStr">
        <is>
          <t>Grocery</t>
        </is>
      </c>
      <c r="F292" s="20" t="inlineStr">
        <is>
          <t>Snack Bars</t>
        </is>
      </c>
      <c r="G292" s="22" t="n">
        <v>1377</v>
      </c>
      <c r="H292" s="23" t="n">
        <v>32.4</v>
      </c>
      <c r="I292" s="23" t="n">
        <v>44614.8</v>
      </c>
      <c r="J292" s="23" t="n">
        <v>27264.6</v>
      </c>
      <c r="K292">
        <f>IF(OR(COUNTIF($A$5:A292,A292)&gt;1,G292&lt;0,C292="",B292&lt;'Work 1'!$C$6,B292&gt;'Work 1'!$C$7,H292&gt;'Work 1'!$C$8*AVERAGEIF($F$5:$F$1014,F292,$H$5:$H$1014)),"Excl",IF(B292&gt;='Work 1'!$C$5,"LTM","Prior"))</f>
        <v/>
      </c>
      <c r="L292">
        <f>I292-J292</f>
        <v/>
      </c>
    </row>
    <row r="293" ht="14.25" customHeight="1" s="54">
      <c r="A293" s="20" t="inlineStr">
        <is>
          <t>BH-40287</t>
        </is>
      </c>
      <c r="B293" s="21" t="n">
        <v>45658</v>
      </c>
      <c r="C293" s="20" t="inlineStr">
        <is>
          <t>C12</t>
        </is>
      </c>
      <c r="D293" s="20" t="inlineStr">
        <is>
          <t>Riverbend Grocery</t>
        </is>
      </c>
      <c r="E293" s="20" t="inlineStr">
        <is>
          <t>Grocery</t>
        </is>
      </c>
      <c r="F293" s="20" t="inlineStr">
        <is>
          <t>Granola</t>
        </is>
      </c>
      <c r="G293" s="22" t="n">
        <v>1850</v>
      </c>
      <c r="H293" s="23" t="n">
        <v>41.8</v>
      </c>
      <c r="I293" s="23" t="n">
        <v>77330</v>
      </c>
      <c r="J293" s="23" t="n">
        <v>48285</v>
      </c>
      <c r="K293">
        <f>IF(OR(COUNTIF($A$5:A293,A293)&gt;1,G293&lt;0,C293="",B293&lt;'Work 1'!$C$6,B293&gt;'Work 1'!$C$7,H293&gt;'Work 1'!$C$8*AVERAGEIF($F$5:$F$1014,F293,$H$5:$H$1014)),"Excl",IF(B293&gt;='Work 1'!$C$5,"LTM","Prior"))</f>
        <v/>
      </c>
      <c r="L293">
        <f>I293-J293</f>
        <v/>
      </c>
    </row>
    <row r="294" ht="14.25" customHeight="1" s="54">
      <c r="A294" s="20" t="inlineStr">
        <is>
          <t>BH-40288</t>
        </is>
      </c>
      <c r="B294" s="21" t="n">
        <v>45658</v>
      </c>
      <c r="C294" s="20" t="inlineStr">
        <is>
          <t>C12</t>
        </is>
      </c>
      <c r="D294" s="20" t="inlineStr">
        <is>
          <t>Riverbend Grocery</t>
        </is>
      </c>
      <c r="E294" s="20" t="inlineStr">
        <is>
          <t>Grocery</t>
        </is>
      </c>
      <c r="F294" s="20" t="inlineStr">
        <is>
          <t>Nut Butter</t>
        </is>
      </c>
      <c r="G294" s="22" t="n">
        <v>790</v>
      </c>
      <c r="H294" s="23" t="n">
        <v>55.6</v>
      </c>
      <c r="I294" s="23" t="n">
        <v>43924</v>
      </c>
      <c r="J294" s="23" t="n">
        <v>30336</v>
      </c>
      <c r="K294">
        <f>IF(OR(COUNTIF($A$5:A294,A294)&gt;1,G294&lt;0,C294="",B294&lt;'Work 1'!$C$6,B294&gt;'Work 1'!$C$7,H294&gt;'Work 1'!$C$8*AVERAGEIF($F$5:$F$1014,F294,$H$5:$H$1014)),"Excl",IF(B294&gt;='Work 1'!$C$5,"LTM","Prior"))</f>
        <v/>
      </c>
      <c r="L294">
        <f>I294-J294</f>
        <v/>
      </c>
    </row>
    <row r="295" ht="14.25" customHeight="1" s="54">
      <c r="A295" s="20" t="inlineStr">
        <is>
          <t>BH-40289</t>
        </is>
      </c>
      <c r="B295" s="21" t="n">
        <v>45658</v>
      </c>
      <c r="C295" s="20" t="inlineStr">
        <is>
          <t>C13</t>
        </is>
      </c>
      <c r="D295" s="20" t="inlineStr">
        <is>
          <t>Sunfield Markets</t>
        </is>
      </c>
      <c r="E295" s="20" t="inlineStr">
        <is>
          <t>Grocery</t>
        </is>
      </c>
      <c r="F295" s="20" t="inlineStr">
        <is>
          <t>Granola</t>
        </is>
      </c>
      <c r="G295" s="22" t="n">
        <v>1029</v>
      </c>
      <c r="H295" s="23" t="n">
        <v>41.8</v>
      </c>
      <c r="I295" s="23" t="n">
        <v>43012.2</v>
      </c>
      <c r="J295" s="23" t="n">
        <v>26856.9</v>
      </c>
      <c r="K295">
        <f>IF(OR(COUNTIF($A$5:A295,A295)&gt;1,G295&lt;0,C295="",B295&lt;'Work 1'!$C$6,B295&gt;'Work 1'!$C$7,H295&gt;'Work 1'!$C$8*AVERAGEIF($F$5:$F$1014,F295,$H$5:$H$1014)),"Excl",IF(B295&gt;='Work 1'!$C$5,"LTM","Prior"))</f>
        <v/>
      </c>
      <c r="L295">
        <f>I295-J295</f>
        <v/>
      </c>
    </row>
    <row r="296" ht="14.25" customHeight="1" s="54">
      <c r="A296" s="20" t="inlineStr">
        <is>
          <t>BH-40290</t>
        </is>
      </c>
      <c r="B296" s="21" t="n">
        <v>45658</v>
      </c>
      <c r="C296" s="20" t="inlineStr">
        <is>
          <t>C13</t>
        </is>
      </c>
      <c r="D296" s="20" t="inlineStr">
        <is>
          <t>Sunfield Markets</t>
        </is>
      </c>
      <c r="E296" s="20" t="inlineStr">
        <is>
          <t>Grocery</t>
        </is>
      </c>
      <c r="F296" s="20" t="inlineStr">
        <is>
          <t>Snack Bars</t>
        </is>
      </c>
      <c r="G296" s="22" t="n">
        <v>1070</v>
      </c>
      <c r="H296" s="23" t="n">
        <v>32.4</v>
      </c>
      <c r="I296" s="23" t="n">
        <v>34668</v>
      </c>
      <c r="J296" s="23" t="n">
        <v>21186</v>
      </c>
      <c r="K296">
        <f>IF(OR(COUNTIF($A$5:A296,A296)&gt;1,G296&lt;0,C296="",B296&lt;'Work 1'!$C$6,B296&gt;'Work 1'!$C$7,H296&gt;'Work 1'!$C$8*AVERAGEIF($F$5:$F$1014,F296,$H$5:$H$1014)),"Excl",IF(B296&gt;='Work 1'!$C$5,"LTM","Prior"))</f>
        <v/>
      </c>
      <c r="L296">
        <f>I296-J296</f>
        <v/>
      </c>
    </row>
    <row r="297" ht="14.25" customHeight="1" s="54">
      <c r="A297" s="20" t="inlineStr">
        <is>
          <t>BH-40291</t>
        </is>
      </c>
      <c r="B297" s="21" t="n">
        <v>45658</v>
      </c>
      <c r="C297" s="20" t="inlineStr">
        <is>
          <t>C14</t>
        </is>
      </c>
      <c r="D297" s="20" t="inlineStr">
        <is>
          <t>Oak Hollow Foods</t>
        </is>
      </c>
      <c r="E297" s="20" t="inlineStr">
        <is>
          <t>Grocery</t>
        </is>
      </c>
      <c r="F297" s="20" t="inlineStr">
        <is>
          <t>Granola</t>
        </is>
      </c>
      <c r="G297" s="22" t="n">
        <v>1207</v>
      </c>
      <c r="H297" s="23" t="n">
        <v>41.8</v>
      </c>
      <c r="I297" s="23" t="n">
        <v>50452.6</v>
      </c>
      <c r="J297" s="23" t="n">
        <v>31502.7</v>
      </c>
      <c r="K297">
        <f>IF(OR(COUNTIF($A$5:A297,A297)&gt;1,G297&lt;0,C297="",B297&lt;'Work 1'!$C$6,B297&gt;'Work 1'!$C$7,H297&gt;'Work 1'!$C$8*AVERAGEIF($F$5:$F$1014,F297,$H$5:$H$1014)),"Excl",IF(B297&gt;='Work 1'!$C$5,"LTM","Prior"))</f>
        <v/>
      </c>
      <c r="L297">
        <f>I297-J297</f>
        <v/>
      </c>
    </row>
    <row r="298" ht="14.25" customHeight="1" s="54">
      <c r="A298" s="20" t="inlineStr">
        <is>
          <t>BH-40292</t>
        </is>
      </c>
      <c r="B298" s="21" t="n">
        <v>45658</v>
      </c>
      <c r="C298" s="20" t="inlineStr">
        <is>
          <t>C14</t>
        </is>
      </c>
      <c r="D298" s="20" t="inlineStr">
        <is>
          <t>Oak Hollow Foods</t>
        </is>
      </c>
      <c r="E298" s="20" t="inlineStr">
        <is>
          <t>Grocery</t>
        </is>
      </c>
      <c r="F298" s="20" t="inlineStr">
        <is>
          <t>Nut Butter</t>
        </is>
      </c>
      <c r="G298" s="22" t="n">
        <v>457</v>
      </c>
      <c r="H298" s="23" t="n">
        <v>55.6</v>
      </c>
      <c r="I298" s="23" t="n">
        <v>25409.2</v>
      </c>
      <c r="J298" s="23" t="n">
        <v>17548.8</v>
      </c>
      <c r="K298">
        <f>IF(OR(COUNTIF($A$5:A298,A298)&gt;1,G298&lt;0,C298="",B298&lt;'Work 1'!$C$6,B298&gt;'Work 1'!$C$7,H298&gt;'Work 1'!$C$8*AVERAGEIF($F$5:$F$1014,F298,$H$5:$H$1014)),"Excl",IF(B298&gt;='Work 1'!$C$5,"LTM","Prior"))</f>
        <v/>
      </c>
      <c r="L298">
        <f>I298-J298</f>
        <v/>
      </c>
    </row>
    <row r="299" ht="14.25" customHeight="1" s="54">
      <c r="A299" s="20" t="inlineStr">
        <is>
          <t>BH-40293</t>
        </is>
      </c>
      <c r="B299" s="21" t="n">
        <v>45658</v>
      </c>
      <c r="C299" s="20" t="inlineStr">
        <is>
          <t>C14</t>
        </is>
      </c>
      <c r="D299" s="20" t="inlineStr">
        <is>
          <t>Oak Hollow Foods</t>
        </is>
      </c>
      <c r="E299" s="20" t="inlineStr">
        <is>
          <t>Grocery</t>
        </is>
      </c>
      <c r="F299" s="20" t="inlineStr">
        <is>
          <t>Snack Bars</t>
        </is>
      </c>
      <c r="G299" s="22" t="n">
        <v>811</v>
      </c>
      <c r="H299" s="23" t="n">
        <v>32.4</v>
      </c>
      <c r="I299" s="23" t="n">
        <v>26276.4</v>
      </c>
      <c r="J299" s="23" t="n">
        <v>16057.8</v>
      </c>
      <c r="K299">
        <f>IF(OR(COUNTIF($A$5:A299,A299)&gt;1,G299&lt;0,C299="",B299&lt;'Work 1'!$C$6,B299&gt;'Work 1'!$C$7,H299&gt;'Work 1'!$C$8*AVERAGEIF($F$5:$F$1014,F299,$H$5:$H$1014)),"Excl",IF(B299&gt;='Work 1'!$C$5,"LTM","Prior"))</f>
        <v/>
      </c>
      <c r="L299">
        <f>I299-J299</f>
        <v/>
      </c>
    </row>
    <row r="300" ht="14.25" customHeight="1" s="54">
      <c r="A300" s="20" t="inlineStr">
        <is>
          <t>BH-40294</t>
        </is>
      </c>
      <c r="B300" s="21" t="n">
        <v>45658</v>
      </c>
      <c r="C300" s="20" t="inlineStr">
        <is>
          <t>C15</t>
        </is>
      </c>
      <c r="D300" s="20" t="inlineStr">
        <is>
          <t>Prairie Fresh</t>
        </is>
      </c>
      <c r="E300" s="20" t="inlineStr">
        <is>
          <t>Grocery</t>
        </is>
      </c>
      <c r="F300" s="20" t="inlineStr">
        <is>
          <t>Granola</t>
        </is>
      </c>
      <c r="G300" s="22" t="n">
        <v>1463</v>
      </c>
      <c r="H300" s="23" t="n">
        <v>41.8</v>
      </c>
      <c r="I300" s="23" t="n">
        <v>61153.4</v>
      </c>
      <c r="J300" s="23" t="n">
        <v>38184.3</v>
      </c>
      <c r="K300">
        <f>IF(OR(COUNTIF($A$5:A300,A300)&gt;1,G300&lt;0,C300="",B300&lt;'Work 1'!$C$6,B300&gt;'Work 1'!$C$7,H300&gt;'Work 1'!$C$8*AVERAGEIF($F$5:$F$1014,F300,$H$5:$H$1014)),"Excl",IF(B300&gt;='Work 1'!$C$5,"LTM","Prior"))</f>
        <v/>
      </c>
      <c r="L300">
        <f>I300-J300</f>
        <v/>
      </c>
    </row>
    <row r="301" ht="14.25" customHeight="1" s="54">
      <c r="A301" s="20" t="inlineStr">
        <is>
          <t>BH-40295</t>
        </is>
      </c>
      <c r="B301" s="21" t="n">
        <v>45658</v>
      </c>
      <c r="C301" s="20" t="inlineStr">
        <is>
          <t>C15</t>
        </is>
      </c>
      <c r="D301" s="20" t="inlineStr">
        <is>
          <t>Prairie Fresh</t>
        </is>
      </c>
      <c r="E301" s="20" t="inlineStr">
        <is>
          <t>Grocery</t>
        </is>
      </c>
      <c r="F301" s="20" t="inlineStr">
        <is>
          <t>Snack Bars</t>
        </is>
      </c>
      <c r="G301" s="22" t="n">
        <v>1070</v>
      </c>
      <c r="H301" s="23" t="n">
        <v>32.4</v>
      </c>
      <c r="I301" s="23" t="n">
        <v>34668</v>
      </c>
      <c r="J301" s="23" t="n">
        <v>21186</v>
      </c>
      <c r="K301">
        <f>IF(OR(COUNTIF($A$5:A301,A301)&gt;1,G301&lt;0,C301="",B301&lt;'Work 1'!$C$6,B301&gt;'Work 1'!$C$7,H301&gt;'Work 1'!$C$8*AVERAGEIF($F$5:$F$1014,F301,$H$5:$H$1014)),"Excl",IF(B301&gt;='Work 1'!$C$5,"LTM","Prior"))</f>
        <v/>
      </c>
      <c r="L301">
        <f>I301-J301</f>
        <v/>
      </c>
    </row>
    <row r="302" ht="14.25" customHeight="1" s="54">
      <c r="A302" s="20" t="inlineStr">
        <is>
          <t>BH-40296</t>
        </is>
      </c>
      <c r="B302" s="21" t="n">
        <v>45658</v>
      </c>
      <c r="C302" s="20" t="inlineStr">
        <is>
          <t>C16</t>
        </is>
      </c>
      <c r="D302" s="20" t="inlineStr">
        <is>
          <t>Bay Street Market</t>
        </is>
      </c>
      <c r="E302" s="20" t="inlineStr">
        <is>
          <t>Grocery</t>
        </is>
      </c>
      <c r="F302" s="20" t="inlineStr">
        <is>
          <t>Granola</t>
        </is>
      </c>
      <c r="G302" s="22" t="n">
        <v>1055</v>
      </c>
      <c r="H302" s="23" t="n">
        <v>41.8</v>
      </c>
      <c r="I302" s="23" t="n">
        <v>44099</v>
      </c>
      <c r="J302" s="23" t="n">
        <v>27535.5</v>
      </c>
      <c r="K302">
        <f>IF(OR(COUNTIF($A$5:A302,A302)&gt;1,G302&lt;0,C302="",B302&lt;'Work 1'!$C$6,B302&gt;'Work 1'!$C$7,H302&gt;'Work 1'!$C$8*AVERAGEIF($F$5:$F$1014,F302,$H$5:$H$1014)),"Excl",IF(B302&gt;='Work 1'!$C$5,"LTM","Prior"))</f>
        <v/>
      </c>
      <c r="L302">
        <f>I302-J302</f>
        <v/>
      </c>
    </row>
    <row r="303" ht="14.25" customHeight="1" s="54">
      <c r="A303" s="20" t="inlineStr">
        <is>
          <t>BH-40297</t>
        </is>
      </c>
      <c r="B303" s="21" t="n">
        <v>45658</v>
      </c>
      <c r="C303" s="20" t="inlineStr">
        <is>
          <t>C16</t>
        </is>
      </c>
      <c r="D303" s="20" t="inlineStr">
        <is>
          <t>Bay Street Market</t>
        </is>
      </c>
      <c r="E303" s="20" t="inlineStr">
        <is>
          <t>Grocery</t>
        </is>
      </c>
      <c r="F303" s="20" t="inlineStr">
        <is>
          <t>Nut Butter</t>
        </is>
      </c>
      <c r="G303" s="22" t="n">
        <v>616</v>
      </c>
      <c r="H303" s="23" t="n">
        <v>55.6</v>
      </c>
      <c r="I303" s="23" t="n">
        <v>34249.6</v>
      </c>
      <c r="J303" s="23" t="n">
        <v>23654.4</v>
      </c>
      <c r="K303">
        <f>IF(OR(COUNTIF($A$5:A303,A303)&gt;1,G303&lt;0,C303="",B303&lt;'Work 1'!$C$6,B303&gt;'Work 1'!$C$7,H303&gt;'Work 1'!$C$8*AVERAGEIF($F$5:$F$1014,F303,$H$5:$H$1014)),"Excl",IF(B303&gt;='Work 1'!$C$5,"LTM","Prior"))</f>
        <v/>
      </c>
      <c r="L303">
        <f>I303-J303</f>
        <v/>
      </c>
    </row>
    <row r="304" ht="14.25" customHeight="1" s="54">
      <c r="A304" s="20" t="inlineStr">
        <is>
          <t>BH-40298</t>
        </is>
      </c>
      <c r="B304" s="21" t="n">
        <v>45658</v>
      </c>
      <c r="C304" s="20" t="inlineStr">
        <is>
          <t>C17</t>
        </is>
      </c>
      <c r="D304" s="20" t="inlineStr">
        <is>
          <t>Eastgate Grocers</t>
        </is>
      </c>
      <c r="E304" s="20" t="inlineStr">
        <is>
          <t>Grocery</t>
        </is>
      </c>
      <c r="F304" s="20" t="inlineStr">
        <is>
          <t>Granola</t>
        </is>
      </c>
      <c r="G304" s="22" t="n">
        <v>1413</v>
      </c>
      <c r="H304" s="23" t="n">
        <v>41.8</v>
      </c>
      <c r="I304" s="23" t="n">
        <v>59063.4</v>
      </c>
      <c r="J304" s="23" t="n">
        <v>36879.3</v>
      </c>
      <c r="K304">
        <f>IF(OR(COUNTIF($A$5:A304,A304)&gt;1,G304&lt;0,C304="",B304&lt;'Work 1'!$C$6,B304&gt;'Work 1'!$C$7,H304&gt;'Work 1'!$C$8*AVERAGEIF($F$5:$F$1014,F304,$H$5:$H$1014)),"Excl",IF(B304&gt;='Work 1'!$C$5,"LTM","Prior"))</f>
        <v/>
      </c>
      <c r="L304">
        <f>I304-J304</f>
        <v/>
      </c>
    </row>
    <row r="305" ht="14.25" customHeight="1" s="54">
      <c r="A305" s="20" t="inlineStr">
        <is>
          <t>BH-40299</t>
        </is>
      </c>
      <c r="B305" s="21" t="n">
        <v>45658</v>
      </c>
      <c r="C305" s="20" t="inlineStr">
        <is>
          <t>C17</t>
        </is>
      </c>
      <c r="D305" s="20" t="inlineStr">
        <is>
          <t>Eastgate Grocers</t>
        </is>
      </c>
      <c r="E305" s="20" t="inlineStr">
        <is>
          <t>Grocery</t>
        </is>
      </c>
      <c r="F305" s="20" t="inlineStr">
        <is>
          <t>Snack Bars</t>
        </is>
      </c>
      <c r="G305" s="22" t="n">
        <v>1049</v>
      </c>
      <c r="H305" s="23" t="n">
        <v>32.4</v>
      </c>
      <c r="I305" s="23" t="n">
        <v>33987.6</v>
      </c>
      <c r="J305" s="23" t="n">
        <v>20770.2</v>
      </c>
      <c r="K305">
        <f>IF(OR(COUNTIF($A$5:A305,A305)&gt;1,G305&lt;0,C305="",B305&lt;'Work 1'!$C$6,B305&gt;'Work 1'!$C$7,H305&gt;'Work 1'!$C$8*AVERAGEIF($F$5:$F$1014,F305,$H$5:$H$1014)),"Excl",IF(B305&gt;='Work 1'!$C$5,"LTM","Prior"))</f>
        <v/>
      </c>
      <c r="L305">
        <f>I305-J305</f>
        <v/>
      </c>
    </row>
    <row r="306" ht="14.25" customHeight="1" s="54">
      <c r="A306" s="20" t="inlineStr">
        <is>
          <t>BH-40300</t>
        </is>
      </c>
      <c r="B306" s="21" t="n">
        <v>45658</v>
      </c>
      <c r="C306" s="20" t="inlineStr">
        <is>
          <t>C18</t>
        </is>
      </c>
      <c r="D306" s="20" t="inlineStr">
        <is>
          <t>Hillcrest Food Co.</t>
        </is>
      </c>
      <c r="E306" s="20" t="inlineStr">
        <is>
          <t>Grocery</t>
        </is>
      </c>
      <c r="F306" s="20" t="inlineStr">
        <is>
          <t>Granola</t>
        </is>
      </c>
      <c r="G306" s="22" t="n">
        <v>1034</v>
      </c>
      <c r="H306" s="23" t="n">
        <v>41.8</v>
      </c>
      <c r="I306" s="23" t="n">
        <v>43221.2</v>
      </c>
      <c r="J306" s="23" t="n">
        <v>26987.4</v>
      </c>
      <c r="K306">
        <f>IF(OR(COUNTIF($A$5:A306,A306)&gt;1,G306&lt;0,C306="",B306&lt;'Work 1'!$C$6,B306&gt;'Work 1'!$C$7,H306&gt;'Work 1'!$C$8*AVERAGEIF($F$5:$F$1014,F306,$H$5:$H$1014)),"Excl",IF(B306&gt;='Work 1'!$C$5,"LTM","Prior"))</f>
        <v/>
      </c>
      <c r="L306">
        <f>I306-J306</f>
        <v/>
      </c>
    </row>
    <row r="307" ht="14.25" customHeight="1" s="54">
      <c r="A307" s="20" t="inlineStr">
        <is>
          <t>BH-40301</t>
        </is>
      </c>
      <c r="B307" s="21" t="n">
        <v>45658</v>
      </c>
      <c r="C307" s="20" t="inlineStr">
        <is>
          <t>C18</t>
        </is>
      </c>
      <c r="D307" s="20" t="inlineStr">
        <is>
          <t>Hillcrest Food Co.</t>
        </is>
      </c>
      <c r="E307" s="20" t="inlineStr">
        <is>
          <t>Grocery</t>
        </is>
      </c>
      <c r="F307" s="20" t="inlineStr">
        <is>
          <t>Nut Butter</t>
        </is>
      </c>
      <c r="G307" s="22" t="n">
        <v>465</v>
      </c>
      <c r="H307" s="23" t="n">
        <v>55.6</v>
      </c>
      <c r="I307" s="23" t="n">
        <v>25854</v>
      </c>
      <c r="J307" s="23" t="n">
        <v>17856</v>
      </c>
      <c r="K307">
        <f>IF(OR(COUNTIF($A$5:A307,A307)&gt;1,G307&lt;0,C307="",B307&lt;'Work 1'!$C$6,B307&gt;'Work 1'!$C$7,H307&gt;'Work 1'!$C$8*AVERAGEIF($F$5:$F$1014,F307,$H$5:$H$1014)),"Excl",IF(B307&gt;='Work 1'!$C$5,"LTM","Prior"))</f>
        <v/>
      </c>
      <c r="L307">
        <f>I307-J307</f>
        <v/>
      </c>
    </row>
    <row r="308" ht="14.25" customHeight="1" s="54">
      <c r="A308" s="20" t="inlineStr">
        <is>
          <t>BH-40302</t>
        </is>
      </c>
      <c r="B308" s="21" t="n">
        <v>45689</v>
      </c>
      <c r="C308" s="20" t="inlineStr">
        <is>
          <t>C01</t>
        </is>
      </c>
      <c r="D308" s="20" t="inlineStr">
        <is>
          <t>Northfield Markets</t>
        </is>
      </c>
      <c r="E308" s="20" t="inlineStr">
        <is>
          <t>Grocery</t>
        </is>
      </c>
      <c r="F308" s="20" t="inlineStr">
        <is>
          <t>Granola</t>
        </is>
      </c>
      <c r="G308" s="22" t="n">
        <v>12938</v>
      </c>
      <c r="H308" s="23" t="n">
        <v>39.29</v>
      </c>
      <c r="I308" s="23" t="n">
        <v>508334.02</v>
      </c>
      <c r="J308" s="23" t="n">
        <v>337681.8</v>
      </c>
      <c r="K308">
        <f>IF(OR(COUNTIF($A$5:A308,A308)&gt;1,G308&lt;0,C308="",B308&lt;'Work 1'!$C$6,B308&gt;'Work 1'!$C$7,H308&gt;'Work 1'!$C$8*AVERAGEIF($F$5:$F$1014,F308,$H$5:$H$1014)),"Excl",IF(B308&gt;='Work 1'!$C$5,"LTM","Prior"))</f>
        <v/>
      </c>
      <c r="L308">
        <f>I308-J308</f>
        <v/>
      </c>
    </row>
    <row r="309" ht="14.25" customHeight="1" s="54">
      <c r="A309" s="20" t="inlineStr">
        <is>
          <t>BH-40303</t>
        </is>
      </c>
      <c r="B309" s="21" t="n">
        <v>45689</v>
      </c>
      <c r="C309" s="20" t="inlineStr">
        <is>
          <t>C01</t>
        </is>
      </c>
      <c r="D309" s="20" t="inlineStr">
        <is>
          <t>Northfield Markets</t>
        </is>
      </c>
      <c r="E309" s="20" t="inlineStr">
        <is>
          <t>Grocery</t>
        </is>
      </c>
      <c r="F309" s="20" t="inlineStr">
        <is>
          <t>Nut Butter</t>
        </is>
      </c>
      <c r="G309" s="22" t="n">
        <v>7043</v>
      </c>
      <c r="H309" s="23" t="n">
        <v>52.26</v>
      </c>
      <c r="I309" s="23" t="n">
        <v>368067.18</v>
      </c>
      <c r="J309" s="23" t="n">
        <v>270451.2</v>
      </c>
      <c r="K309">
        <f>IF(OR(COUNTIF($A$5:A309,A309)&gt;1,G309&lt;0,C309="",B309&lt;'Work 1'!$C$6,B309&gt;'Work 1'!$C$7,H309&gt;'Work 1'!$C$8*AVERAGEIF($F$5:$F$1014,F309,$H$5:$H$1014)),"Excl",IF(B309&gt;='Work 1'!$C$5,"LTM","Prior"))</f>
        <v/>
      </c>
      <c r="L309">
        <f>I309-J309</f>
        <v/>
      </c>
    </row>
    <row r="310" ht="14.25" customHeight="1" s="54">
      <c r="A310" s="20" t="inlineStr">
        <is>
          <t>BH-40304</t>
        </is>
      </c>
      <c r="B310" s="21" t="n">
        <v>45689</v>
      </c>
      <c r="C310" s="20" t="inlineStr">
        <is>
          <t>C01</t>
        </is>
      </c>
      <c r="D310" s="20" t="inlineStr">
        <is>
          <t>Northfield Markets</t>
        </is>
      </c>
      <c r="E310" s="20" t="inlineStr">
        <is>
          <t>Grocery</t>
        </is>
      </c>
      <c r="F310" s="20" t="inlineStr">
        <is>
          <t>Snack Bars</t>
        </is>
      </c>
      <c r="G310" s="22" t="n">
        <v>9835</v>
      </c>
      <c r="H310" s="23" t="n">
        <v>30.46</v>
      </c>
      <c r="I310" s="23" t="n">
        <v>299574.1</v>
      </c>
      <c r="J310" s="23" t="n">
        <v>194733</v>
      </c>
      <c r="K310">
        <f>IF(OR(COUNTIF($A$5:A310,A310)&gt;1,G310&lt;0,C310="",B310&lt;'Work 1'!$C$6,B310&gt;'Work 1'!$C$7,H310&gt;'Work 1'!$C$8*AVERAGEIF($F$5:$F$1014,F310,$H$5:$H$1014)),"Excl",IF(B310&gt;='Work 1'!$C$5,"LTM","Prior"))</f>
        <v/>
      </c>
      <c r="L310">
        <f>I310-J310</f>
        <v/>
      </c>
    </row>
    <row r="311" ht="14.25" customHeight="1" s="54">
      <c r="A311" s="20" t="inlineStr">
        <is>
          <t>BH-40305</t>
        </is>
      </c>
      <c r="B311" s="21" t="n">
        <v>45689</v>
      </c>
      <c r="C311" s="20" t="inlineStr">
        <is>
          <t>C02</t>
        </is>
      </c>
      <c r="D311" s="20" t="inlineStr">
        <is>
          <t>Crestline Grocers</t>
        </is>
      </c>
      <c r="E311" s="20" t="inlineStr">
        <is>
          <t>Grocery</t>
        </is>
      </c>
      <c r="F311" s="20" t="inlineStr">
        <is>
          <t>Granola</t>
        </is>
      </c>
      <c r="G311" s="22" t="n">
        <v>3928</v>
      </c>
      <c r="H311" s="23" t="n">
        <v>40.55</v>
      </c>
      <c r="I311" s="23" t="n">
        <v>159280.4</v>
      </c>
      <c r="J311" s="23" t="n">
        <v>102520.8</v>
      </c>
      <c r="K311">
        <f>IF(OR(COUNTIF($A$5:A311,A311)&gt;1,G311&lt;0,C311="",B311&lt;'Work 1'!$C$6,B311&gt;'Work 1'!$C$7,H311&gt;'Work 1'!$C$8*AVERAGEIF($F$5:$F$1014,F311,$H$5:$H$1014)),"Excl",IF(B311&gt;='Work 1'!$C$5,"LTM","Prior"))</f>
        <v/>
      </c>
      <c r="L311">
        <f>I311-J311</f>
        <v/>
      </c>
    </row>
    <row r="312" ht="14.25" customHeight="1" s="54">
      <c r="A312" s="20" t="inlineStr">
        <is>
          <t>BH-40306</t>
        </is>
      </c>
      <c r="B312" s="21" t="n">
        <v>45689</v>
      </c>
      <c r="C312" s="20" t="inlineStr">
        <is>
          <t>C02</t>
        </is>
      </c>
      <c r="D312" s="20" t="inlineStr">
        <is>
          <t>Crestline Grocers</t>
        </is>
      </c>
      <c r="E312" s="20" t="inlineStr">
        <is>
          <t>Grocery</t>
        </is>
      </c>
      <c r="F312" s="20" t="inlineStr">
        <is>
          <t>Nut Butter</t>
        </is>
      </c>
      <c r="G312" s="22" t="n">
        <v>1943</v>
      </c>
      <c r="H312" s="23" t="n">
        <v>53.93</v>
      </c>
      <c r="I312" s="23" t="n">
        <v>104785.99</v>
      </c>
      <c r="J312" s="23" t="n">
        <v>74611.2</v>
      </c>
      <c r="K312">
        <f>IF(OR(COUNTIF($A$5:A312,A312)&gt;1,G312&lt;0,C312="",B312&lt;'Work 1'!$C$6,B312&gt;'Work 1'!$C$7,H312&gt;'Work 1'!$C$8*AVERAGEIF($F$5:$F$1014,F312,$H$5:$H$1014)),"Excl",IF(B312&gt;='Work 1'!$C$5,"LTM","Prior"))</f>
        <v/>
      </c>
      <c r="L312">
        <f>I312-J312</f>
        <v/>
      </c>
    </row>
    <row r="313" ht="14.25" customHeight="1" s="54">
      <c r="A313" s="20" t="inlineStr">
        <is>
          <t>BH-40307</t>
        </is>
      </c>
      <c r="B313" s="21" t="n">
        <v>45689</v>
      </c>
      <c r="C313" s="20" t="inlineStr">
        <is>
          <t>C02</t>
        </is>
      </c>
      <c r="D313" s="20" t="inlineStr">
        <is>
          <t>Crestline Grocers</t>
        </is>
      </c>
      <c r="E313" s="20" t="inlineStr">
        <is>
          <t>Grocery</t>
        </is>
      </c>
      <c r="F313" s="20" t="inlineStr">
        <is>
          <t>Snack Bars</t>
        </is>
      </c>
      <c r="G313" s="22" t="n">
        <v>3372</v>
      </c>
      <c r="H313" s="23" t="n">
        <v>31.43</v>
      </c>
      <c r="I313" s="23" t="n">
        <v>105981.96</v>
      </c>
      <c r="J313" s="23" t="n">
        <v>66765.60000000001</v>
      </c>
      <c r="K313">
        <f>IF(OR(COUNTIF($A$5:A313,A313)&gt;1,G313&lt;0,C313="",B313&lt;'Work 1'!$C$6,B313&gt;'Work 1'!$C$7,H313&gt;'Work 1'!$C$8*AVERAGEIF($F$5:$F$1014,F313,$H$5:$H$1014)),"Excl",IF(B313&gt;='Work 1'!$C$5,"LTM","Prior"))</f>
        <v/>
      </c>
      <c r="L313">
        <f>I313-J313</f>
        <v/>
      </c>
    </row>
    <row r="314" ht="14.25" customHeight="1" s="54">
      <c r="A314" s="20" t="inlineStr">
        <is>
          <t>BH-40308</t>
        </is>
      </c>
      <c r="B314" s="21" t="n">
        <v>45689</v>
      </c>
      <c r="C314" s="20" t="inlineStr">
        <is>
          <t>C03</t>
        </is>
      </c>
      <c r="D314" s="20" t="inlineStr">
        <is>
          <t>ValuClub Warehouse</t>
        </is>
      </c>
      <c r="E314" s="20" t="inlineStr">
        <is>
          <t>Club</t>
        </is>
      </c>
      <c r="F314" s="20" t="inlineStr">
        <is>
          <t>Granola</t>
        </is>
      </c>
      <c r="G314" s="22" t="n">
        <v>11497</v>
      </c>
      <c r="H314" s="23" t="n">
        <v>35.9</v>
      </c>
      <c r="I314" s="23" t="n">
        <v>412742.3</v>
      </c>
      <c r="J314" s="23" t="n">
        <v>300071.7</v>
      </c>
      <c r="K314">
        <f>IF(OR(COUNTIF($A$5:A314,A314)&gt;1,G314&lt;0,C314="",B314&lt;'Work 1'!$C$6,B314&gt;'Work 1'!$C$7,H314&gt;'Work 1'!$C$8*AVERAGEIF($F$5:$F$1014,F314,$H$5:$H$1014)),"Excl",IF(B314&gt;='Work 1'!$C$5,"LTM","Prior"))</f>
        <v/>
      </c>
      <c r="L314">
        <f>I314-J314</f>
        <v/>
      </c>
    </row>
    <row r="315" ht="14.25" customHeight="1" s="54">
      <c r="A315" s="20" t="inlineStr">
        <is>
          <t>BH-40309</t>
        </is>
      </c>
      <c r="B315" s="21" t="n">
        <v>45689</v>
      </c>
      <c r="C315" s="20" t="inlineStr">
        <is>
          <t>C03</t>
        </is>
      </c>
      <c r="D315" s="20" t="inlineStr">
        <is>
          <t>ValuClub Warehouse</t>
        </is>
      </c>
      <c r="E315" s="20" t="inlineStr">
        <is>
          <t>Club</t>
        </is>
      </c>
      <c r="F315" s="20" t="inlineStr">
        <is>
          <t>Snack Bars</t>
        </is>
      </c>
      <c r="G315" s="22" t="n">
        <v>12060</v>
      </c>
      <c r="H315" s="23" t="n">
        <v>27.4</v>
      </c>
      <c r="I315" s="23" t="n">
        <v>330444</v>
      </c>
      <c r="J315" s="23" t="n">
        <v>238788</v>
      </c>
      <c r="K315">
        <f>IF(OR(COUNTIF($A$5:A315,A315)&gt;1,G315&lt;0,C315="",B315&lt;'Work 1'!$C$6,B315&gt;'Work 1'!$C$7,H315&gt;'Work 1'!$C$8*AVERAGEIF($F$5:$F$1014,F315,$H$5:$H$1014)),"Excl",IF(B315&gt;='Work 1'!$C$5,"LTM","Prior"))</f>
        <v/>
      </c>
      <c r="L315">
        <f>I315-J315</f>
        <v/>
      </c>
    </row>
    <row r="316" ht="14.25" customHeight="1" s="54">
      <c r="A316" s="20" t="inlineStr">
        <is>
          <t>BH-40310</t>
        </is>
      </c>
      <c r="B316" s="21" t="n">
        <v>45689</v>
      </c>
      <c r="C316" s="20" t="inlineStr">
        <is>
          <t>C04</t>
        </is>
      </c>
      <c r="D316" s="20" t="inlineStr">
        <is>
          <t>Harvest Lane Co-op</t>
        </is>
      </c>
      <c r="E316" s="20" t="inlineStr">
        <is>
          <t>Grocery</t>
        </is>
      </c>
      <c r="F316" s="20" t="inlineStr">
        <is>
          <t>Granola</t>
        </is>
      </c>
      <c r="G316" s="22" t="n">
        <v>2791</v>
      </c>
      <c r="H316" s="23" t="n">
        <v>41.8</v>
      </c>
      <c r="I316" s="23" t="n">
        <v>116663.8</v>
      </c>
      <c r="J316" s="23" t="n">
        <v>72845.10000000001</v>
      </c>
      <c r="K316">
        <f>IF(OR(COUNTIF($A$5:A316,A316)&gt;1,G316&lt;0,C316="",B316&lt;'Work 1'!$C$6,B316&gt;'Work 1'!$C$7,H316&gt;'Work 1'!$C$8*AVERAGEIF($F$5:$F$1014,F316,$H$5:$H$1014)),"Excl",IF(B316&gt;='Work 1'!$C$5,"LTM","Prior"))</f>
        <v/>
      </c>
      <c r="L316">
        <f>I316-J316</f>
        <v/>
      </c>
    </row>
    <row r="317" ht="14.25" customHeight="1" s="54">
      <c r="A317" s="20" t="inlineStr">
        <is>
          <t>BH-40311</t>
        </is>
      </c>
      <c r="B317" s="21" t="n">
        <v>45689</v>
      </c>
      <c r="C317" s="20" t="inlineStr">
        <is>
          <t>C04</t>
        </is>
      </c>
      <c r="D317" s="20" t="inlineStr">
        <is>
          <t>Harvest Lane Co-op</t>
        </is>
      </c>
      <c r="E317" s="20" t="inlineStr">
        <is>
          <t>Grocery</t>
        </is>
      </c>
      <c r="F317" s="20" t="inlineStr">
        <is>
          <t>Nut Butter</t>
        </is>
      </c>
      <c r="G317" s="22" t="n">
        <v>1438</v>
      </c>
      <c r="H317" s="23" t="n">
        <v>55.6</v>
      </c>
      <c r="I317" s="23" t="n">
        <v>79952.8</v>
      </c>
      <c r="J317" s="23" t="n">
        <v>55219.2</v>
      </c>
      <c r="K317">
        <f>IF(OR(COUNTIF($A$5:A317,A317)&gt;1,G317&lt;0,C317="",B317&lt;'Work 1'!$C$6,B317&gt;'Work 1'!$C$7,H317&gt;'Work 1'!$C$8*AVERAGEIF($F$5:$F$1014,F317,$H$5:$H$1014)),"Excl",IF(B317&gt;='Work 1'!$C$5,"LTM","Prior"))</f>
        <v/>
      </c>
      <c r="L317">
        <f>I317-J317</f>
        <v/>
      </c>
    </row>
    <row r="318" ht="14.25" customHeight="1" s="54">
      <c r="A318" s="20" t="inlineStr">
        <is>
          <t>BH-40312</t>
        </is>
      </c>
      <c r="B318" s="21" t="n">
        <v>45689</v>
      </c>
      <c r="C318" s="20" t="inlineStr">
        <is>
          <t>C04</t>
        </is>
      </c>
      <c r="D318" s="20" t="inlineStr">
        <is>
          <t>Harvest Lane Co-op</t>
        </is>
      </c>
      <c r="E318" s="20" t="inlineStr">
        <is>
          <t>Grocery</t>
        </is>
      </c>
      <c r="F318" s="20" t="inlineStr">
        <is>
          <t>Snack Bars</t>
        </is>
      </c>
      <c r="G318" s="22" t="n">
        <v>1715</v>
      </c>
      <c r="H318" s="23" t="n">
        <v>32.4</v>
      </c>
      <c r="I318" s="23" t="n">
        <v>55566</v>
      </c>
      <c r="J318" s="23" t="n">
        <v>33957</v>
      </c>
      <c r="K318">
        <f>IF(OR(COUNTIF($A$5:A318,A318)&gt;1,G318&lt;0,C318="",B318&lt;'Work 1'!$C$6,B318&gt;'Work 1'!$C$7,H318&gt;'Work 1'!$C$8*AVERAGEIF($F$5:$F$1014,F318,$H$5:$H$1014)),"Excl",IF(B318&gt;='Work 1'!$C$5,"LTM","Prior"))</f>
        <v/>
      </c>
      <c r="L318">
        <f>I318-J318</f>
        <v/>
      </c>
    </row>
    <row r="319" ht="14.25" customHeight="1" s="54">
      <c r="A319" s="20" t="inlineStr">
        <is>
          <t>BH-40313</t>
        </is>
      </c>
      <c r="B319" s="21" t="n">
        <v>45689</v>
      </c>
      <c r="C319" s="20" t="inlineStr">
        <is>
          <t>C05</t>
        </is>
      </c>
      <c r="D319" s="20" t="inlineStr">
        <is>
          <t>Pioneer Foods Distribution</t>
        </is>
      </c>
      <c r="E319" s="20" t="inlineStr">
        <is>
          <t>Grocery</t>
        </is>
      </c>
      <c r="F319" s="20" t="inlineStr">
        <is>
          <t>Granola</t>
        </is>
      </c>
      <c r="G319" s="22" t="n">
        <v>3530</v>
      </c>
      <c r="H319" s="23" t="n">
        <v>37.62</v>
      </c>
      <c r="I319" s="23" t="n">
        <v>132798.6</v>
      </c>
      <c r="J319" s="23" t="n">
        <v>92133</v>
      </c>
      <c r="K319">
        <f>IF(OR(COUNTIF($A$5:A319,A319)&gt;1,G319&lt;0,C319="",B319&lt;'Work 1'!$C$6,B319&gt;'Work 1'!$C$7,H319&gt;'Work 1'!$C$8*AVERAGEIF($F$5:$F$1014,F319,$H$5:$H$1014)),"Excl",IF(B319&gt;='Work 1'!$C$5,"LTM","Prior"))</f>
        <v/>
      </c>
      <c r="L319">
        <f>I319-J319</f>
        <v/>
      </c>
    </row>
    <row r="320" ht="14.25" customHeight="1" s="54">
      <c r="A320" s="20" t="inlineStr">
        <is>
          <t>BH-40314</t>
        </is>
      </c>
      <c r="B320" s="21" t="n">
        <v>45689</v>
      </c>
      <c r="C320" s="20" t="inlineStr">
        <is>
          <t>C05</t>
        </is>
      </c>
      <c r="D320" s="20" t="inlineStr">
        <is>
          <t>Pioneer Foods Distribution</t>
        </is>
      </c>
      <c r="E320" s="20" t="inlineStr">
        <is>
          <t>Grocery</t>
        </is>
      </c>
      <c r="F320" s="20" t="inlineStr">
        <is>
          <t>Nut Butter</t>
        </is>
      </c>
      <c r="G320" s="22" t="n">
        <v>1936</v>
      </c>
      <c r="H320" s="23" t="n">
        <v>50.04</v>
      </c>
      <c r="I320" s="23" t="n">
        <v>96877.44</v>
      </c>
      <c r="J320" s="23" t="n">
        <v>74342.39999999999</v>
      </c>
      <c r="K320">
        <f>IF(OR(COUNTIF($A$5:A320,A320)&gt;1,G320&lt;0,C320="",B320&lt;'Work 1'!$C$6,B320&gt;'Work 1'!$C$7,H320&gt;'Work 1'!$C$8*AVERAGEIF($F$5:$F$1014,F320,$H$5:$H$1014)),"Excl",IF(B320&gt;='Work 1'!$C$5,"LTM","Prior"))</f>
        <v/>
      </c>
      <c r="L320">
        <f>I320-J320</f>
        <v/>
      </c>
    </row>
    <row r="321" ht="14.25" customHeight="1" s="54">
      <c r="A321" s="20" t="inlineStr">
        <is>
          <t>BH-40315</t>
        </is>
      </c>
      <c r="B321" s="21" t="n">
        <v>45689</v>
      </c>
      <c r="C321" s="20" t="inlineStr">
        <is>
          <t>C05</t>
        </is>
      </c>
      <c r="D321" s="20" t="inlineStr">
        <is>
          <t>Pioneer Foods Distribution</t>
        </is>
      </c>
      <c r="E321" s="20" t="inlineStr">
        <is>
          <t>Grocery</t>
        </is>
      </c>
      <c r="F321" s="20" t="inlineStr">
        <is>
          <t>Snack Bars</t>
        </is>
      </c>
      <c r="G321" s="22" t="n">
        <v>3132</v>
      </c>
      <c r="H321" s="23" t="n">
        <v>29.16</v>
      </c>
      <c r="I321" s="23" t="n">
        <v>91329.12</v>
      </c>
      <c r="J321" s="23" t="n">
        <v>62013.6</v>
      </c>
      <c r="K321">
        <f>IF(OR(COUNTIF($A$5:A321,A321)&gt;1,G321&lt;0,C321="",B321&lt;'Work 1'!$C$6,B321&gt;'Work 1'!$C$7,H321&gt;'Work 1'!$C$8*AVERAGEIF($F$5:$F$1014,F321,$H$5:$H$1014)),"Excl",IF(B321&gt;='Work 1'!$C$5,"LTM","Prior"))</f>
        <v/>
      </c>
      <c r="L321">
        <f>I321-J321</f>
        <v/>
      </c>
    </row>
    <row r="322" ht="14.25" customHeight="1" s="54">
      <c r="A322" s="20" t="inlineStr">
        <is>
          <t>BH-40316</t>
        </is>
      </c>
      <c r="B322" s="21" t="n">
        <v>45689</v>
      </c>
      <c r="C322" s="20" t="inlineStr">
        <is>
          <t>C06</t>
        </is>
      </c>
      <c r="D322" s="20" t="inlineStr">
        <is>
          <t>Summit Club Stores</t>
        </is>
      </c>
      <c r="E322" s="20" t="inlineStr">
        <is>
          <t>Club</t>
        </is>
      </c>
      <c r="F322" s="20" t="inlineStr">
        <is>
          <t>Granola</t>
        </is>
      </c>
      <c r="G322" s="22" t="n">
        <v>4946</v>
      </c>
      <c r="H322" s="23" t="n">
        <v>35.9</v>
      </c>
      <c r="I322" s="23" t="n">
        <v>177561.4</v>
      </c>
      <c r="J322" s="23" t="n">
        <v>129090.6</v>
      </c>
      <c r="K322">
        <f>IF(OR(COUNTIF($A$5:A322,A322)&gt;1,G322&lt;0,C322="",B322&lt;'Work 1'!$C$6,B322&gt;'Work 1'!$C$7,H322&gt;'Work 1'!$C$8*AVERAGEIF($F$5:$F$1014,F322,$H$5:$H$1014)),"Excl",IF(B322&gt;='Work 1'!$C$5,"LTM","Prior"))</f>
        <v/>
      </c>
      <c r="L322">
        <f>I322-J322</f>
        <v/>
      </c>
    </row>
    <row r="323" ht="14.25" customHeight="1" s="54">
      <c r="A323" s="20" t="inlineStr">
        <is>
          <t>BH-40317</t>
        </is>
      </c>
      <c r="B323" s="21" t="n">
        <v>45689</v>
      </c>
      <c r="C323" s="20" t="inlineStr">
        <is>
          <t>C06</t>
        </is>
      </c>
      <c r="D323" s="20" t="inlineStr">
        <is>
          <t>Summit Club Stores</t>
        </is>
      </c>
      <c r="E323" s="20" t="inlineStr">
        <is>
          <t>Club</t>
        </is>
      </c>
      <c r="F323" s="20" t="inlineStr">
        <is>
          <t>Nut Butter</t>
        </is>
      </c>
      <c r="G323" s="22" t="n">
        <v>2464</v>
      </c>
      <c r="H323" s="23" t="n">
        <v>47.8</v>
      </c>
      <c r="I323" s="23" t="n">
        <v>117779.2</v>
      </c>
      <c r="J323" s="23" t="n">
        <v>94617.60000000001</v>
      </c>
      <c r="K323">
        <f>IF(OR(COUNTIF($A$5:A323,A323)&gt;1,G323&lt;0,C323="",B323&lt;'Work 1'!$C$6,B323&gt;'Work 1'!$C$7,H323&gt;'Work 1'!$C$8*AVERAGEIF($F$5:$F$1014,F323,$H$5:$H$1014)),"Excl",IF(B323&gt;='Work 1'!$C$5,"LTM","Prior"))</f>
        <v/>
      </c>
      <c r="L323">
        <f>I323-J323</f>
        <v/>
      </c>
    </row>
    <row r="324" ht="14.25" customHeight="1" s="54">
      <c r="A324" s="20" t="inlineStr">
        <is>
          <t>BH-40318</t>
        </is>
      </c>
      <c r="B324" s="21" t="n">
        <v>45689</v>
      </c>
      <c r="C324" s="20" t="inlineStr">
        <is>
          <t>C07</t>
        </is>
      </c>
      <c r="D324" s="20" t="inlineStr">
        <is>
          <t>Bramble Hill Online Store</t>
        </is>
      </c>
      <c r="E324" s="20" t="inlineStr">
        <is>
          <t>Online</t>
        </is>
      </c>
      <c r="F324" s="20" t="inlineStr">
        <is>
          <t>Granola</t>
        </is>
      </c>
      <c r="G324" s="22" t="n">
        <v>3321</v>
      </c>
      <c r="H324" s="23" t="n">
        <v>47.5</v>
      </c>
      <c r="I324" s="23" t="n">
        <v>157747.5</v>
      </c>
      <c r="J324" s="23" t="n">
        <v>86678.10000000001</v>
      </c>
      <c r="K324">
        <f>IF(OR(COUNTIF($A$5:A324,A324)&gt;1,G324&lt;0,C324="",B324&lt;'Work 1'!$C$6,B324&gt;'Work 1'!$C$7,H324&gt;'Work 1'!$C$8*AVERAGEIF($F$5:$F$1014,F324,$H$5:$H$1014)),"Excl",IF(B324&gt;='Work 1'!$C$5,"LTM","Prior"))</f>
        <v/>
      </c>
      <c r="L324">
        <f>I324-J324</f>
        <v/>
      </c>
    </row>
    <row r="325" ht="14.25" customHeight="1" s="54">
      <c r="A325" s="20" t="inlineStr">
        <is>
          <t>BH-40319</t>
        </is>
      </c>
      <c r="B325" s="21" t="n">
        <v>45689</v>
      </c>
      <c r="C325" s="20" t="inlineStr">
        <is>
          <t>C07</t>
        </is>
      </c>
      <c r="D325" s="20" t="inlineStr">
        <is>
          <t>Bramble Hill Online Store</t>
        </is>
      </c>
      <c r="E325" s="20" t="inlineStr">
        <is>
          <t>Online</t>
        </is>
      </c>
      <c r="F325" s="20" t="inlineStr">
        <is>
          <t>Nut Butter</t>
        </is>
      </c>
      <c r="G325" s="22" t="n">
        <v>1873</v>
      </c>
      <c r="H325" s="23" t="n">
        <v>61.9</v>
      </c>
      <c r="I325" s="23" t="n">
        <v>115938.7</v>
      </c>
      <c r="J325" s="23" t="n">
        <v>71923.2</v>
      </c>
      <c r="K325">
        <f>IF(OR(COUNTIF($A$5:A325,A325)&gt;1,G325&lt;0,C325="",B325&lt;'Work 1'!$C$6,B325&gt;'Work 1'!$C$7,H325&gt;'Work 1'!$C$8*AVERAGEIF($F$5:$F$1014,F325,$H$5:$H$1014)),"Excl",IF(B325&gt;='Work 1'!$C$5,"LTM","Prior"))</f>
        <v/>
      </c>
      <c r="L325">
        <f>I325-J325</f>
        <v/>
      </c>
    </row>
    <row r="326" ht="14.25" customHeight="1" s="54">
      <c r="A326" s="20" t="inlineStr">
        <is>
          <t>BH-40320</t>
        </is>
      </c>
      <c r="B326" s="21" t="n">
        <v>45689</v>
      </c>
      <c r="C326" s="20" t="inlineStr">
        <is>
          <t>C07</t>
        </is>
      </c>
      <c r="D326" s="20" t="inlineStr">
        <is>
          <t>Bramble Hill Online Store</t>
        </is>
      </c>
      <c r="E326" s="20" t="inlineStr">
        <is>
          <t>Online</t>
        </is>
      </c>
      <c r="F326" s="20" t="inlineStr">
        <is>
          <t>Snack Bars</t>
        </is>
      </c>
      <c r="G326" s="22" t="n">
        <v>2342</v>
      </c>
      <c r="H326" s="23" t="n">
        <v>37.8</v>
      </c>
      <c r="I326" s="23" t="n">
        <v>88527.60000000001</v>
      </c>
      <c r="J326" s="23" t="n">
        <v>46371.6</v>
      </c>
      <c r="K326">
        <f>IF(OR(COUNTIF($A$5:A326,A326)&gt;1,G326&lt;0,C326="",B326&lt;'Work 1'!$C$6,B326&gt;'Work 1'!$C$7,H326&gt;'Work 1'!$C$8*AVERAGEIF($F$5:$F$1014,F326,$H$5:$H$1014)),"Excl",IF(B326&gt;='Work 1'!$C$5,"LTM","Prior"))</f>
        <v/>
      </c>
      <c r="L326">
        <f>I326-J326</f>
        <v/>
      </c>
    </row>
    <row r="327" ht="14.25" customHeight="1" s="54">
      <c r="A327" s="20" t="inlineStr">
        <is>
          <t>BH-40321</t>
        </is>
      </c>
      <c r="B327" s="21" t="n">
        <v>45689</v>
      </c>
      <c r="C327" s="20" t="inlineStr">
        <is>
          <t>C08</t>
        </is>
      </c>
      <c r="D327" s="20" t="inlineStr">
        <is>
          <t>Online Marketplace</t>
        </is>
      </c>
      <c r="E327" s="20" t="inlineStr">
        <is>
          <t>Online</t>
        </is>
      </c>
      <c r="F327" s="20" t="inlineStr">
        <is>
          <t>Granola</t>
        </is>
      </c>
      <c r="G327" s="22" t="n">
        <v>3263</v>
      </c>
      <c r="H327" s="23" t="n">
        <v>41.8</v>
      </c>
      <c r="I327" s="23" t="n">
        <v>136393.4</v>
      </c>
      <c r="J327" s="23" t="n">
        <v>85164.3</v>
      </c>
      <c r="K327">
        <f>IF(OR(COUNTIF($A$5:A327,A327)&gt;1,G327&lt;0,C327="",B327&lt;'Work 1'!$C$6,B327&gt;'Work 1'!$C$7,H327&gt;'Work 1'!$C$8*AVERAGEIF($F$5:$F$1014,F327,$H$5:$H$1014)),"Excl",IF(B327&gt;='Work 1'!$C$5,"LTM","Prior"))</f>
        <v/>
      </c>
      <c r="L327">
        <f>I327-J327</f>
        <v/>
      </c>
    </row>
    <row r="328" ht="14.25" customHeight="1" s="54">
      <c r="A328" s="20" t="inlineStr">
        <is>
          <t>BH-40322</t>
        </is>
      </c>
      <c r="B328" s="21" t="n">
        <v>45689</v>
      </c>
      <c r="C328" s="20" t="inlineStr">
        <is>
          <t>C08</t>
        </is>
      </c>
      <c r="D328" s="20" t="inlineStr">
        <is>
          <t>Online Marketplace</t>
        </is>
      </c>
      <c r="E328" s="20" t="inlineStr">
        <is>
          <t>Online</t>
        </is>
      </c>
      <c r="F328" s="20" t="inlineStr">
        <is>
          <t>Nut Butter</t>
        </is>
      </c>
      <c r="G328" s="22" t="n">
        <v>1663</v>
      </c>
      <c r="H328" s="23" t="n">
        <v>54.47</v>
      </c>
      <c r="I328" s="23" t="n">
        <v>90583.61</v>
      </c>
      <c r="J328" s="23" t="n">
        <v>63859.2</v>
      </c>
      <c r="K328">
        <f>IF(OR(COUNTIF($A$5:A328,A328)&gt;1,G328&lt;0,C328="",B328&lt;'Work 1'!$C$6,B328&gt;'Work 1'!$C$7,H328&gt;'Work 1'!$C$8*AVERAGEIF($F$5:$F$1014,F328,$H$5:$H$1014)),"Excl",IF(B328&gt;='Work 1'!$C$5,"LTM","Prior"))</f>
        <v/>
      </c>
      <c r="L328">
        <f>I328-J328</f>
        <v/>
      </c>
    </row>
    <row r="329" ht="14.25" customHeight="1" s="54">
      <c r="A329" s="20" t="inlineStr">
        <is>
          <t>BH-40323</t>
        </is>
      </c>
      <c r="B329" s="21" t="n">
        <v>45689</v>
      </c>
      <c r="C329" s="20" t="inlineStr">
        <is>
          <t>C08</t>
        </is>
      </c>
      <c r="D329" s="20" t="inlineStr">
        <is>
          <t>Online Marketplace</t>
        </is>
      </c>
      <c r="E329" s="20" t="inlineStr">
        <is>
          <t>Online</t>
        </is>
      </c>
      <c r="F329" s="20" t="inlineStr">
        <is>
          <t>Snack Bars</t>
        </is>
      </c>
      <c r="G329" s="22" t="n">
        <v>2757</v>
      </c>
      <c r="H329" s="23" t="n">
        <v>33.26</v>
      </c>
      <c r="I329" s="23" t="n">
        <v>91697.82000000001</v>
      </c>
      <c r="J329" s="23" t="n">
        <v>54588.6</v>
      </c>
      <c r="K329">
        <f>IF(OR(COUNTIF($A$5:A329,A329)&gt;1,G329&lt;0,C329="",B329&lt;'Work 1'!$C$6,B329&gt;'Work 1'!$C$7,H329&gt;'Work 1'!$C$8*AVERAGEIF($F$5:$F$1014,F329,$H$5:$H$1014)),"Excl",IF(B329&gt;='Work 1'!$C$5,"LTM","Prior"))</f>
        <v/>
      </c>
      <c r="L329">
        <f>I329-J329</f>
        <v/>
      </c>
    </row>
    <row r="330" ht="14.25" customHeight="1" s="54">
      <c r="A330" s="20" t="inlineStr">
        <is>
          <t>BH-40324</t>
        </is>
      </c>
      <c r="B330" s="21" t="n">
        <v>45689</v>
      </c>
      <c r="C330" s="20" t="inlineStr">
        <is>
          <t>C09</t>
        </is>
      </c>
      <c r="D330" s="20" t="inlineStr">
        <is>
          <t>Maple Ridge Grocers</t>
        </is>
      </c>
      <c r="E330" s="20" t="inlineStr">
        <is>
          <t>Grocery</t>
        </is>
      </c>
      <c r="F330" s="20" t="inlineStr">
        <is>
          <t>Granola</t>
        </is>
      </c>
      <c r="G330" s="22" t="n">
        <v>1511</v>
      </c>
      <c r="H330" s="23" t="n">
        <v>41.8</v>
      </c>
      <c r="I330" s="23" t="n">
        <v>63159.8</v>
      </c>
      <c r="J330" s="23" t="n">
        <v>39437.1</v>
      </c>
      <c r="K330">
        <f>IF(OR(COUNTIF($A$5:A330,A330)&gt;1,G330&lt;0,C330="",B330&lt;'Work 1'!$C$6,B330&gt;'Work 1'!$C$7,H330&gt;'Work 1'!$C$8*AVERAGEIF($F$5:$F$1014,F330,$H$5:$H$1014)),"Excl",IF(B330&gt;='Work 1'!$C$5,"LTM","Prior"))</f>
        <v/>
      </c>
      <c r="L330">
        <f>I330-J330</f>
        <v/>
      </c>
    </row>
    <row r="331" ht="14.25" customHeight="1" s="54">
      <c r="A331" s="20" t="inlineStr">
        <is>
          <t>BH-40325</t>
        </is>
      </c>
      <c r="B331" s="21" t="n">
        <v>45689</v>
      </c>
      <c r="C331" s="20" t="inlineStr">
        <is>
          <t>C09</t>
        </is>
      </c>
      <c r="D331" s="20" t="inlineStr">
        <is>
          <t>Maple Ridge Grocers</t>
        </is>
      </c>
      <c r="E331" s="20" t="inlineStr">
        <is>
          <t>Grocery</t>
        </is>
      </c>
      <c r="F331" s="20" t="inlineStr">
        <is>
          <t>Snack Bars</t>
        </is>
      </c>
      <c r="G331" s="22" t="n">
        <v>1210</v>
      </c>
      <c r="H331" s="23" t="n">
        <v>32.4</v>
      </c>
      <c r="I331" s="23" t="n">
        <v>39204</v>
      </c>
      <c r="J331" s="23" t="n">
        <v>23958</v>
      </c>
      <c r="K331">
        <f>IF(OR(COUNTIF($A$5:A331,A331)&gt;1,G331&lt;0,C331="",B331&lt;'Work 1'!$C$6,B331&gt;'Work 1'!$C$7,H331&gt;'Work 1'!$C$8*AVERAGEIF($F$5:$F$1014,F331,$H$5:$H$1014)),"Excl",IF(B331&gt;='Work 1'!$C$5,"LTM","Prior"))</f>
        <v/>
      </c>
      <c r="L331">
        <f>I331-J331</f>
        <v/>
      </c>
    </row>
    <row r="332" ht="14.25" customHeight="1" s="54">
      <c r="A332" s="20" t="inlineStr">
        <is>
          <t>BH-40326</t>
        </is>
      </c>
      <c r="B332" s="21" t="n">
        <v>45689</v>
      </c>
      <c r="C332" s="20" t="inlineStr">
        <is>
          <t>C10</t>
        </is>
      </c>
      <c r="D332" s="20" t="inlineStr">
        <is>
          <t>Lakeshore Foods</t>
        </is>
      </c>
      <c r="E332" s="20" t="inlineStr">
        <is>
          <t>Grocery</t>
        </is>
      </c>
      <c r="F332" s="20" t="inlineStr">
        <is>
          <t>Granola</t>
        </is>
      </c>
      <c r="G332" s="22" t="n">
        <v>1403</v>
      </c>
      <c r="H332" s="23" t="n">
        <v>41.8</v>
      </c>
      <c r="I332" s="23" t="n">
        <v>58645.4</v>
      </c>
      <c r="J332" s="23" t="n">
        <v>36618.3</v>
      </c>
      <c r="K332">
        <f>IF(OR(COUNTIF($A$5:A332,A332)&gt;1,G332&lt;0,C332="",B332&lt;'Work 1'!$C$6,B332&gt;'Work 1'!$C$7,H332&gt;'Work 1'!$C$8*AVERAGEIF($F$5:$F$1014,F332,$H$5:$H$1014)),"Excl",IF(B332&gt;='Work 1'!$C$5,"LTM","Prior"))</f>
        <v/>
      </c>
      <c r="L332">
        <f>I332-J332</f>
        <v/>
      </c>
    </row>
    <row r="333" ht="14.25" customHeight="1" s="54">
      <c r="A333" s="20" t="inlineStr">
        <is>
          <t>BH-40327</t>
        </is>
      </c>
      <c r="B333" s="21" t="n">
        <v>45689</v>
      </c>
      <c r="C333" s="20" t="inlineStr">
        <is>
          <t>C10</t>
        </is>
      </c>
      <c r="D333" s="20" t="inlineStr">
        <is>
          <t>Lakeshore Foods</t>
        </is>
      </c>
      <c r="E333" s="20" t="inlineStr">
        <is>
          <t>Grocery</t>
        </is>
      </c>
      <c r="F333" s="20" t="inlineStr">
        <is>
          <t>Nut Butter</t>
        </is>
      </c>
      <c r="G333" s="22" t="n">
        <v>601</v>
      </c>
      <c r="H333" s="23" t="n">
        <v>55.6</v>
      </c>
      <c r="I333" s="23" t="n">
        <v>33415.6</v>
      </c>
      <c r="J333" s="23" t="n">
        <v>23078.4</v>
      </c>
      <c r="K333">
        <f>IF(OR(COUNTIF($A$5:A333,A333)&gt;1,G333&lt;0,C333="",B333&lt;'Work 1'!$C$6,B333&gt;'Work 1'!$C$7,H333&gt;'Work 1'!$C$8*AVERAGEIF($F$5:$F$1014,F333,$H$5:$H$1014)),"Excl",IF(B333&gt;='Work 1'!$C$5,"LTM","Prior"))</f>
        <v/>
      </c>
      <c r="L333">
        <f>I333-J333</f>
        <v/>
      </c>
    </row>
    <row r="334" ht="14.25" customHeight="1" s="54">
      <c r="A334" s="20" t="inlineStr">
        <is>
          <t>BH-40328</t>
        </is>
      </c>
      <c r="B334" s="21" t="n">
        <v>45689</v>
      </c>
      <c r="C334" s="20" t="inlineStr">
        <is>
          <t>C11</t>
        </is>
      </c>
      <c r="D334" s="20" t="inlineStr">
        <is>
          <t>Copper Valley Market</t>
        </is>
      </c>
      <c r="E334" s="20" t="inlineStr">
        <is>
          <t>Grocery</t>
        </is>
      </c>
      <c r="F334" s="20" t="inlineStr">
        <is>
          <t>Granola</t>
        </is>
      </c>
      <c r="G334" s="22" t="n">
        <v>1131</v>
      </c>
      <c r="H334" s="23" t="n">
        <v>41.8</v>
      </c>
      <c r="I334" s="23" t="n">
        <v>47275.8</v>
      </c>
      <c r="J334" s="23" t="n">
        <v>29519.1</v>
      </c>
      <c r="K334">
        <f>IF(OR(COUNTIF($A$5:A334,A334)&gt;1,G334&lt;0,C334="",B334&lt;'Work 1'!$C$6,B334&gt;'Work 1'!$C$7,H334&gt;'Work 1'!$C$8*AVERAGEIF($F$5:$F$1014,F334,$H$5:$H$1014)),"Excl",IF(B334&gt;='Work 1'!$C$5,"LTM","Prior"))</f>
        <v/>
      </c>
      <c r="L334">
        <f>I334-J334</f>
        <v/>
      </c>
    </row>
    <row r="335" ht="14.25" customHeight="1" s="54">
      <c r="A335" s="20" t="inlineStr">
        <is>
          <t>BH-40329</t>
        </is>
      </c>
      <c r="B335" s="21" t="n">
        <v>45689</v>
      </c>
      <c r="C335" s="20" t="inlineStr">
        <is>
          <t>C11</t>
        </is>
      </c>
      <c r="D335" s="20" t="inlineStr">
        <is>
          <t>Copper Valley Market</t>
        </is>
      </c>
      <c r="E335" s="20" t="inlineStr">
        <is>
          <t>Grocery</t>
        </is>
      </c>
      <c r="F335" s="20" t="inlineStr">
        <is>
          <t>Snack Bars</t>
        </is>
      </c>
      <c r="G335" s="22" t="n">
        <v>1303</v>
      </c>
      <c r="H335" s="23" t="n">
        <v>32.4</v>
      </c>
      <c r="I335" s="23" t="n">
        <v>42217.2</v>
      </c>
      <c r="J335" s="23" t="n">
        <v>25799.4</v>
      </c>
      <c r="K335">
        <f>IF(OR(COUNTIF($A$5:A335,A335)&gt;1,G335&lt;0,C335="",B335&lt;'Work 1'!$C$6,B335&gt;'Work 1'!$C$7,H335&gt;'Work 1'!$C$8*AVERAGEIF($F$5:$F$1014,F335,$H$5:$H$1014)),"Excl",IF(B335&gt;='Work 1'!$C$5,"LTM","Prior"))</f>
        <v/>
      </c>
      <c r="L335">
        <f>I335-J335</f>
        <v/>
      </c>
    </row>
    <row r="336" ht="14.25" customHeight="1" s="54">
      <c r="A336" s="20" t="inlineStr">
        <is>
          <t>BH-40330</t>
        </is>
      </c>
      <c r="B336" s="21" t="n">
        <v>45689</v>
      </c>
      <c r="C336" s="20" t="inlineStr">
        <is>
          <t>C12</t>
        </is>
      </c>
      <c r="D336" s="20" t="inlineStr">
        <is>
          <t>Riverbend Grocery</t>
        </is>
      </c>
      <c r="E336" s="20" t="inlineStr">
        <is>
          <t>Grocery</t>
        </is>
      </c>
      <c r="F336" s="20" t="inlineStr">
        <is>
          <t>Granola</t>
        </is>
      </c>
      <c r="G336" s="22" t="n">
        <v>1733</v>
      </c>
      <c r="H336" s="23" t="n">
        <v>41.8</v>
      </c>
      <c r="I336" s="23" t="n">
        <v>72439.39999999999</v>
      </c>
      <c r="J336" s="23" t="n">
        <v>45231.3</v>
      </c>
      <c r="K336">
        <f>IF(OR(COUNTIF($A$5:A336,A336)&gt;1,G336&lt;0,C336="",B336&lt;'Work 1'!$C$6,B336&gt;'Work 1'!$C$7,H336&gt;'Work 1'!$C$8*AVERAGEIF($F$5:$F$1014,F336,$H$5:$H$1014)),"Excl",IF(B336&gt;='Work 1'!$C$5,"LTM","Prior"))</f>
        <v/>
      </c>
      <c r="L336">
        <f>I336-J336</f>
        <v/>
      </c>
    </row>
    <row r="337" ht="14.25" customHeight="1" s="54">
      <c r="A337" s="20" t="inlineStr">
        <is>
          <t>BH-40331</t>
        </is>
      </c>
      <c r="B337" s="21" t="n">
        <v>45689</v>
      </c>
      <c r="C337" s="20" t="inlineStr">
        <is>
          <t>C12</t>
        </is>
      </c>
      <c r="D337" s="20" t="inlineStr">
        <is>
          <t>Riverbend Grocery</t>
        </is>
      </c>
      <c r="E337" s="20" t="inlineStr">
        <is>
          <t>Grocery</t>
        </is>
      </c>
      <c r="F337" s="20" t="inlineStr">
        <is>
          <t>Nut Butter</t>
        </is>
      </c>
      <c r="G337" s="22" t="n">
        <v>757</v>
      </c>
      <c r="H337" s="23" t="n">
        <v>55.6</v>
      </c>
      <c r="I337" s="23" t="n">
        <v>42089.2</v>
      </c>
      <c r="J337" s="23" t="n">
        <v>29068.8</v>
      </c>
      <c r="K337">
        <f>IF(OR(COUNTIF($A$5:A337,A337)&gt;1,G337&lt;0,C337="",B337&lt;'Work 1'!$C$6,B337&gt;'Work 1'!$C$7,H337&gt;'Work 1'!$C$8*AVERAGEIF($F$5:$F$1014,F337,$H$5:$H$1014)),"Excl",IF(B337&gt;='Work 1'!$C$5,"LTM","Prior"))</f>
        <v/>
      </c>
      <c r="L337">
        <f>I337-J337</f>
        <v/>
      </c>
    </row>
    <row r="338" ht="14.25" customHeight="1" s="54">
      <c r="A338" s="20" t="inlineStr">
        <is>
          <t>BH-40332</t>
        </is>
      </c>
      <c r="B338" s="21" t="n">
        <v>45689</v>
      </c>
      <c r="C338" s="20" t="inlineStr">
        <is>
          <t>C13</t>
        </is>
      </c>
      <c r="D338" s="20" t="inlineStr">
        <is>
          <t>Sunfield Markets</t>
        </is>
      </c>
      <c r="E338" s="20" t="inlineStr">
        <is>
          <t>Grocery</t>
        </is>
      </c>
      <c r="F338" s="20" t="inlineStr">
        <is>
          <t>Granola</t>
        </is>
      </c>
      <c r="G338" s="22" t="n">
        <v>972</v>
      </c>
      <c r="H338" s="23" t="n">
        <v>41.8</v>
      </c>
      <c r="I338" s="23" t="n">
        <v>40629.6</v>
      </c>
      <c r="J338" s="23" t="n">
        <v>25369.2</v>
      </c>
      <c r="K338">
        <f>IF(OR(COUNTIF($A$5:A338,A338)&gt;1,G338&lt;0,C338="",B338&lt;'Work 1'!$C$6,B338&gt;'Work 1'!$C$7,H338&gt;'Work 1'!$C$8*AVERAGEIF($F$5:$F$1014,F338,$H$5:$H$1014)),"Excl",IF(B338&gt;='Work 1'!$C$5,"LTM","Prior"))</f>
        <v/>
      </c>
      <c r="L338">
        <f>I338-J338</f>
        <v/>
      </c>
    </row>
    <row r="339" ht="14.25" customHeight="1" s="54">
      <c r="A339" s="20" t="inlineStr">
        <is>
          <t>BH-40333</t>
        </is>
      </c>
      <c r="B339" s="21" t="n">
        <v>45689</v>
      </c>
      <c r="C339" s="20" t="inlineStr">
        <is>
          <t>C13</t>
        </is>
      </c>
      <c r="D339" s="20" t="inlineStr">
        <is>
          <t>Sunfield Markets</t>
        </is>
      </c>
      <c r="E339" s="20" t="inlineStr">
        <is>
          <t>Grocery</t>
        </is>
      </c>
      <c r="F339" s="20" t="inlineStr">
        <is>
          <t>Snack Bars</t>
        </is>
      </c>
      <c r="G339" s="22" t="n">
        <v>990</v>
      </c>
      <c r="H339" s="23" t="n">
        <v>32.4</v>
      </c>
      <c r="I339" s="23" t="n">
        <v>32076</v>
      </c>
      <c r="J339" s="23" t="n">
        <v>19602</v>
      </c>
      <c r="K339">
        <f>IF(OR(COUNTIF($A$5:A339,A339)&gt;1,G339&lt;0,C339="",B339&lt;'Work 1'!$C$6,B339&gt;'Work 1'!$C$7,H339&gt;'Work 1'!$C$8*AVERAGEIF($F$5:$F$1014,F339,$H$5:$H$1014)),"Excl",IF(B339&gt;='Work 1'!$C$5,"LTM","Prior"))</f>
        <v/>
      </c>
      <c r="L339">
        <f>I339-J339</f>
        <v/>
      </c>
    </row>
    <row r="340" ht="14.25" customHeight="1" s="54">
      <c r="A340" s="20" t="inlineStr">
        <is>
          <t>BH-40334</t>
        </is>
      </c>
      <c r="B340" s="21" t="n">
        <v>45689</v>
      </c>
      <c r="C340" s="20" t="inlineStr">
        <is>
          <t>C14</t>
        </is>
      </c>
      <c r="D340" s="20" t="inlineStr">
        <is>
          <t>Oak Hollow Foods</t>
        </is>
      </c>
      <c r="E340" s="20" t="inlineStr">
        <is>
          <t>Grocery</t>
        </is>
      </c>
      <c r="F340" s="20" t="inlineStr">
        <is>
          <t>Granola</t>
        </is>
      </c>
      <c r="G340" s="22" t="n">
        <v>1154</v>
      </c>
      <c r="H340" s="23" t="n">
        <v>41.8</v>
      </c>
      <c r="I340" s="23" t="n">
        <v>48237.2</v>
      </c>
      <c r="J340" s="23" t="n">
        <v>30119.4</v>
      </c>
      <c r="K340">
        <f>IF(OR(COUNTIF($A$5:A340,A340)&gt;1,G340&lt;0,C340="",B340&lt;'Work 1'!$C$6,B340&gt;'Work 1'!$C$7,H340&gt;'Work 1'!$C$8*AVERAGEIF($F$5:$F$1014,F340,$H$5:$H$1014)),"Excl",IF(B340&gt;='Work 1'!$C$5,"LTM","Prior"))</f>
        <v/>
      </c>
      <c r="L340">
        <f>I340-J340</f>
        <v/>
      </c>
    </row>
    <row r="341" ht="14.25" customHeight="1" s="54">
      <c r="A341" s="20" t="inlineStr">
        <is>
          <t>BH-40335</t>
        </is>
      </c>
      <c r="B341" s="21" t="n">
        <v>45689</v>
      </c>
      <c r="C341" s="20" t="inlineStr">
        <is>
          <t>C14</t>
        </is>
      </c>
      <c r="D341" s="20" t="inlineStr">
        <is>
          <t>Oak Hollow Foods</t>
        </is>
      </c>
      <c r="E341" s="20" t="inlineStr">
        <is>
          <t>Grocery</t>
        </is>
      </c>
      <c r="F341" s="20" t="inlineStr">
        <is>
          <t>Nut Butter</t>
        </is>
      </c>
      <c r="G341" s="22" t="n">
        <v>430</v>
      </c>
      <c r="H341" s="23" t="n">
        <v>55.6</v>
      </c>
      <c r="I341" s="23" t="n">
        <v>23908</v>
      </c>
      <c r="J341" s="23" t="n">
        <v>16512</v>
      </c>
      <c r="K341">
        <f>IF(OR(COUNTIF($A$5:A341,A341)&gt;1,G341&lt;0,C341="",B341&lt;'Work 1'!$C$6,B341&gt;'Work 1'!$C$7,H341&gt;'Work 1'!$C$8*AVERAGEIF($F$5:$F$1014,F341,$H$5:$H$1014)),"Excl",IF(B341&gt;='Work 1'!$C$5,"LTM","Prior"))</f>
        <v/>
      </c>
      <c r="L341">
        <f>I341-J341</f>
        <v/>
      </c>
    </row>
    <row r="342" ht="14.25" customHeight="1" s="54">
      <c r="A342" s="20" t="inlineStr">
        <is>
          <t>BH-40336</t>
        </is>
      </c>
      <c r="B342" s="21" t="n">
        <v>45689</v>
      </c>
      <c r="C342" s="20" t="inlineStr">
        <is>
          <t>C14</t>
        </is>
      </c>
      <c r="D342" s="20" t="inlineStr">
        <is>
          <t>Oak Hollow Foods</t>
        </is>
      </c>
      <c r="E342" s="20" t="inlineStr">
        <is>
          <t>Grocery</t>
        </is>
      </c>
      <c r="F342" s="20" t="inlineStr">
        <is>
          <t>Snack Bars</t>
        </is>
      </c>
      <c r="G342" s="22" t="n">
        <v>714</v>
      </c>
      <c r="H342" s="23" t="n">
        <v>32.4</v>
      </c>
      <c r="I342" s="23" t="n">
        <v>23133.6</v>
      </c>
      <c r="J342" s="23" t="n">
        <v>14137.2</v>
      </c>
      <c r="K342">
        <f>IF(OR(COUNTIF($A$5:A342,A342)&gt;1,G342&lt;0,C342="",B342&lt;'Work 1'!$C$6,B342&gt;'Work 1'!$C$7,H342&gt;'Work 1'!$C$8*AVERAGEIF($F$5:$F$1014,F342,$H$5:$H$1014)),"Excl",IF(B342&gt;='Work 1'!$C$5,"LTM","Prior"))</f>
        <v/>
      </c>
      <c r="L342">
        <f>I342-J342</f>
        <v/>
      </c>
    </row>
    <row r="343" ht="14.25" customHeight="1" s="54">
      <c r="A343" s="20" t="inlineStr">
        <is>
          <t>BH-40337</t>
        </is>
      </c>
      <c r="B343" s="21" t="n">
        <v>45689</v>
      </c>
      <c r="C343" s="20" t="inlineStr">
        <is>
          <t>C15</t>
        </is>
      </c>
      <c r="D343" s="20" t="inlineStr">
        <is>
          <t>Prairie Fresh</t>
        </is>
      </c>
      <c r="E343" s="20" t="inlineStr">
        <is>
          <t>Grocery</t>
        </is>
      </c>
      <c r="F343" s="20" t="inlineStr">
        <is>
          <t>Granola</t>
        </is>
      </c>
      <c r="G343" s="22" t="n">
        <v>1357</v>
      </c>
      <c r="H343" s="23" t="n">
        <v>41.8</v>
      </c>
      <c r="I343" s="23" t="n">
        <v>56722.6</v>
      </c>
      <c r="J343" s="23" t="n">
        <v>35417.7</v>
      </c>
      <c r="K343">
        <f>IF(OR(COUNTIF($A$5:A343,A343)&gt;1,G343&lt;0,C343="",B343&lt;'Work 1'!$C$6,B343&gt;'Work 1'!$C$7,H343&gt;'Work 1'!$C$8*AVERAGEIF($F$5:$F$1014,F343,$H$5:$H$1014)),"Excl",IF(B343&gt;='Work 1'!$C$5,"LTM","Prior"))</f>
        <v/>
      </c>
      <c r="L343">
        <f>I343-J343</f>
        <v/>
      </c>
    </row>
    <row r="344" ht="14.25" customHeight="1" s="54">
      <c r="A344" s="20" t="inlineStr">
        <is>
          <t>BH-40338</t>
        </is>
      </c>
      <c r="B344" s="21" t="n">
        <v>45689</v>
      </c>
      <c r="C344" s="20" t="inlineStr">
        <is>
          <t>C15</t>
        </is>
      </c>
      <c r="D344" s="20" t="inlineStr">
        <is>
          <t>Prairie Fresh</t>
        </is>
      </c>
      <c r="E344" s="20" t="inlineStr">
        <is>
          <t>Grocery</t>
        </is>
      </c>
      <c r="F344" s="20" t="inlineStr">
        <is>
          <t>Snack Bars</t>
        </is>
      </c>
      <c r="G344" s="22" t="n">
        <v>1039</v>
      </c>
      <c r="H344" s="23" t="n">
        <v>32.4</v>
      </c>
      <c r="I344" s="23" t="n">
        <v>33663.6</v>
      </c>
      <c r="J344" s="23" t="n">
        <v>20572.2</v>
      </c>
      <c r="K344">
        <f>IF(OR(COUNTIF($A$5:A344,A344)&gt;1,G344&lt;0,C344="",B344&lt;'Work 1'!$C$6,B344&gt;'Work 1'!$C$7,H344&gt;'Work 1'!$C$8*AVERAGEIF($F$5:$F$1014,F344,$H$5:$H$1014)),"Excl",IF(B344&gt;='Work 1'!$C$5,"LTM","Prior"))</f>
        <v/>
      </c>
      <c r="L344">
        <f>I344-J344</f>
        <v/>
      </c>
    </row>
    <row r="345" ht="14.25" customHeight="1" s="54">
      <c r="A345" s="20" t="inlineStr">
        <is>
          <t>BH-40339</t>
        </is>
      </c>
      <c r="B345" s="21" t="n">
        <v>45689</v>
      </c>
      <c r="C345" s="20" t="inlineStr">
        <is>
          <t>C16</t>
        </is>
      </c>
      <c r="D345" s="20" t="inlineStr">
        <is>
          <t>Bay Street Market</t>
        </is>
      </c>
      <c r="E345" s="20" t="inlineStr">
        <is>
          <t>Grocery</t>
        </is>
      </c>
      <c r="F345" s="20" t="inlineStr">
        <is>
          <t>Granola</t>
        </is>
      </c>
      <c r="G345" s="22" t="n">
        <v>943</v>
      </c>
      <c r="H345" s="23" t="n">
        <v>41.8</v>
      </c>
      <c r="I345" s="23" t="n">
        <v>39417.4</v>
      </c>
      <c r="J345" s="23" t="n">
        <v>24612.3</v>
      </c>
      <c r="K345">
        <f>IF(OR(COUNTIF($A$5:A345,A345)&gt;1,G345&lt;0,C345="",B345&lt;'Work 1'!$C$6,B345&gt;'Work 1'!$C$7,H345&gt;'Work 1'!$C$8*AVERAGEIF($F$5:$F$1014,F345,$H$5:$H$1014)),"Excl",IF(B345&gt;='Work 1'!$C$5,"LTM","Prior"))</f>
        <v/>
      </c>
      <c r="L345">
        <f>I345-J345</f>
        <v/>
      </c>
    </row>
    <row r="346" ht="14.25" customHeight="1" s="54">
      <c r="A346" s="20" t="inlineStr">
        <is>
          <t>BH-40340</t>
        </is>
      </c>
      <c r="B346" s="21" t="n">
        <v>45689</v>
      </c>
      <c r="C346" s="20" t="inlineStr">
        <is>
          <t>C16</t>
        </is>
      </c>
      <c r="D346" s="20" t="inlineStr">
        <is>
          <t>Bay Street Market</t>
        </is>
      </c>
      <c r="E346" s="20" t="inlineStr">
        <is>
          <t>Grocery</t>
        </is>
      </c>
      <c r="F346" s="20" t="inlineStr">
        <is>
          <t>Nut Butter</t>
        </is>
      </c>
      <c r="G346" s="22" t="n">
        <v>589</v>
      </c>
      <c r="H346" s="23" t="n">
        <v>55.6</v>
      </c>
      <c r="I346" s="23" t="n">
        <v>32748.4</v>
      </c>
      <c r="J346" s="23" t="n">
        <v>22617.6</v>
      </c>
      <c r="K346">
        <f>IF(OR(COUNTIF($A$5:A346,A346)&gt;1,G346&lt;0,C346="",B346&lt;'Work 1'!$C$6,B346&gt;'Work 1'!$C$7,H346&gt;'Work 1'!$C$8*AVERAGEIF($F$5:$F$1014,F346,$H$5:$H$1014)),"Excl",IF(B346&gt;='Work 1'!$C$5,"LTM","Prior"))</f>
        <v/>
      </c>
      <c r="L346">
        <f>I346-J346</f>
        <v/>
      </c>
    </row>
    <row r="347" ht="14.25" customHeight="1" s="54">
      <c r="A347" s="20" t="inlineStr">
        <is>
          <t>BH-40341</t>
        </is>
      </c>
      <c r="B347" s="21" t="n">
        <v>45689</v>
      </c>
      <c r="C347" s="20" t="inlineStr">
        <is>
          <t>C17</t>
        </is>
      </c>
      <c r="D347" s="20" t="inlineStr">
        <is>
          <t>Eastgate Grocers</t>
        </is>
      </c>
      <c r="E347" s="20" t="inlineStr">
        <is>
          <t>Grocery</t>
        </is>
      </c>
      <c r="F347" s="20" t="inlineStr">
        <is>
          <t>Granola</t>
        </is>
      </c>
      <c r="G347" s="22" t="n">
        <v>1375</v>
      </c>
      <c r="H347" s="23" t="n">
        <v>41.8</v>
      </c>
      <c r="I347" s="23" t="n">
        <v>57475</v>
      </c>
      <c r="J347" s="23" t="n">
        <v>35887.5</v>
      </c>
      <c r="K347">
        <f>IF(OR(COUNTIF($A$5:A347,A347)&gt;1,G347&lt;0,C347="",B347&lt;'Work 1'!$C$6,B347&gt;'Work 1'!$C$7,H347&gt;'Work 1'!$C$8*AVERAGEIF($F$5:$F$1014,F347,$H$5:$H$1014)),"Excl",IF(B347&gt;='Work 1'!$C$5,"LTM","Prior"))</f>
        <v/>
      </c>
      <c r="L347">
        <f>I347-J347</f>
        <v/>
      </c>
    </row>
    <row r="348" ht="14.25" customHeight="1" s="54">
      <c r="A348" s="20" t="inlineStr">
        <is>
          <t>BH-40342</t>
        </is>
      </c>
      <c r="B348" s="21" t="n">
        <v>45689</v>
      </c>
      <c r="C348" s="20" t="inlineStr">
        <is>
          <t>C17</t>
        </is>
      </c>
      <c r="D348" s="20" t="inlineStr">
        <is>
          <t>Eastgate Grocers</t>
        </is>
      </c>
      <c r="E348" s="20" t="inlineStr">
        <is>
          <t>Grocery</t>
        </is>
      </c>
      <c r="F348" s="20" t="inlineStr">
        <is>
          <t>Snack Bars</t>
        </is>
      </c>
      <c r="G348" s="22" t="n">
        <v>967</v>
      </c>
      <c r="H348" s="23" t="n">
        <v>32.4</v>
      </c>
      <c r="I348" s="23" t="n">
        <v>31330.8</v>
      </c>
      <c r="J348" s="23" t="n">
        <v>19146.6</v>
      </c>
      <c r="K348">
        <f>IF(OR(COUNTIF($A$5:A348,A348)&gt;1,G348&lt;0,C348="",B348&lt;'Work 1'!$C$6,B348&gt;'Work 1'!$C$7,H348&gt;'Work 1'!$C$8*AVERAGEIF($F$5:$F$1014,F348,$H$5:$H$1014)),"Excl",IF(B348&gt;='Work 1'!$C$5,"LTM","Prior"))</f>
        <v/>
      </c>
      <c r="L348">
        <f>I348-J348</f>
        <v/>
      </c>
    </row>
    <row r="349" ht="14.25" customHeight="1" s="54">
      <c r="A349" s="20" t="inlineStr">
        <is>
          <t>BH-40343</t>
        </is>
      </c>
      <c r="B349" s="21" t="n">
        <v>45689</v>
      </c>
      <c r="C349" s="20" t="inlineStr">
        <is>
          <t>C18</t>
        </is>
      </c>
      <c r="D349" s="20" t="inlineStr">
        <is>
          <t>Hillcrest Food Co.</t>
        </is>
      </c>
      <c r="E349" s="20" t="inlineStr">
        <is>
          <t>Grocery</t>
        </is>
      </c>
      <c r="F349" s="20" t="inlineStr">
        <is>
          <t>Granola</t>
        </is>
      </c>
      <c r="G349" s="22" t="n">
        <v>967</v>
      </c>
      <c r="H349" s="23" t="n">
        <v>41.8</v>
      </c>
      <c r="I349" s="23" t="n">
        <v>40420.6</v>
      </c>
      <c r="J349" s="23" t="n">
        <v>25238.7</v>
      </c>
      <c r="K349">
        <f>IF(OR(COUNTIF($A$5:A349,A349)&gt;1,G349&lt;0,C349="",B349&lt;'Work 1'!$C$6,B349&gt;'Work 1'!$C$7,H349&gt;'Work 1'!$C$8*AVERAGEIF($F$5:$F$1014,F349,$H$5:$H$1014)),"Excl",IF(B349&gt;='Work 1'!$C$5,"LTM","Prior"))</f>
        <v/>
      </c>
      <c r="L349">
        <f>I349-J349</f>
        <v/>
      </c>
    </row>
    <row r="350" ht="14.25" customHeight="1" s="54">
      <c r="A350" s="20" t="inlineStr">
        <is>
          <t>BH-40344</t>
        </is>
      </c>
      <c r="B350" s="21" t="n">
        <v>45689</v>
      </c>
      <c r="C350" s="20" t="inlineStr">
        <is>
          <t>C18</t>
        </is>
      </c>
      <c r="D350" s="20" t="inlineStr">
        <is>
          <t>Hillcrest Food Co.</t>
        </is>
      </c>
      <c r="E350" s="20" t="inlineStr">
        <is>
          <t>Grocery</t>
        </is>
      </c>
      <c r="F350" s="20" t="inlineStr">
        <is>
          <t>Nut Butter</t>
        </is>
      </c>
      <c r="G350" s="22" t="n">
        <v>437</v>
      </c>
      <c r="H350" s="23" t="n">
        <v>55.6</v>
      </c>
      <c r="I350" s="23" t="n">
        <v>24297.2</v>
      </c>
      <c r="J350" s="23" t="n">
        <v>16780.8</v>
      </c>
      <c r="K350">
        <f>IF(OR(COUNTIF($A$5:A350,A350)&gt;1,G350&lt;0,C350="",B350&lt;'Work 1'!$C$6,B350&gt;'Work 1'!$C$7,H350&gt;'Work 1'!$C$8*AVERAGEIF($F$5:$F$1014,F350,$H$5:$H$1014)),"Excl",IF(B350&gt;='Work 1'!$C$5,"LTM","Prior"))</f>
        <v/>
      </c>
      <c r="L350">
        <f>I350-J350</f>
        <v/>
      </c>
    </row>
    <row r="351" ht="14.25" customHeight="1" s="54">
      <c r="A351" s="20" t="inlineStr">
        <is>
          <t>BH-40345</t>
        </is>
      </c>
      <c r="B351" s="21" t="n">
        <v>45717</v>
      </c>
      <c r="C351" s="20" t="inlineStr">
        <is>
          <t>C01</t>
        </is>
      </c>
      <c r="D351" s="20" t="inlineStr">
        <is>
          <t>Northfield Markets</t>
        </is>
      </c>
      <c r="E351" s="20" t="inlineStr">
        <is>
          <t>Grocery</t>
        </is>
      </c>
      <c r="F351" s="20" t="inlineStr">
        <is>
          <t>Granola</t>
        </is>
      </c>
      <c r="G351" s="22" t="n">
        <v>13918</v>
      </c>
      <c r="H351" s="23" t="n">
        <v>39.29</v>
      </c>
      <c r="I351" s="23" t="n">
        <v>546838.22</v>
      </c>
      <c r="J351" s="23" t="n">
        <v>363259.8</v>
      </c>
      <c r="K351">
        <f>IF(OR(COUNTIF($A$5:A351,A351)&gt;1,G351&lt;0,C351="",B351&lt;'Work 1'!$C$6,B351&gt;'Work 1'!$C$7,H351&gt;'Work 1'!$C$8*AVERAGEIF($F$5:$F$1014,F351,$H$5:$H$1014)),"Excl",IF(B351&gt;='Work 1'!$C$5,"LTM","Prior"))</f>
        <v/>
      </c>
      <c r="L351">
        <f>I351-J351</f>
        <v/>
      </c>
    </row>
    <row r="352" ht="14.25" customHeight="1" s="54">
      <c r="A352" s="20" t="inlineStr">
        <is>
          <t>BH-40346</t>
        </is>
      </c>
      <c r="B352" s="21" t="n">
        <v>45717</v>
      </c>
      <c r="C352" s="20" t="inlineStr">
        <is>
          <t>C01</t>
        </is>
      </c>
      <c r="D352" s="20" t="inlineStr">
        <is>
          <t>Northfield Markets</t>
        </is>
      </c>
      <c r="E352" s="20" t="inlineStr">
        <is>
          <t>Grocery</t>
        </is>
      </c>
      <c r="F352" s="20" t="inlineStr">
        <is>
          <t>Nut Butter</t>
        </is>
      </c>
      <c r="G352" s="22" t="n">
        <v>6946</v>
      </c>
      <c r="H352" s="23" t="n">
        <v>52.26</v>
      </c>
      <c r="I352" s="23" t="n">
        <v>362997.96</v>
      </c>
      <c r="J352" s="23" t="n">
        <v>266726.4</v>
      </c>
      <c r="K352">
        <f>IF(OR(COUNTIF($A$5:A352,A352)&gt;1,G352&lt;0,C352="",B352&lt;'Work 1'!$C$6,B352&gt;'Work 1'!$C$7,H352&gt;'Work 1'!$C$8*AVERAGEIF($F$5:$F$1014,F352,$H$5:$H$1014)),"Excl",IF(B352&gt;='Work 1'!$C$5,"LTM","Prior"))</f>
        <v/>
      </c>
      <c r="L352">
        <f>I352-J352</f>
        <v/>
      </c>
    </row>
    <row r="353" ht="14.25" customHeight="1" s="54">
      <c r="A353" s="20" t="inlineStr">
        <is>
          <t>BH-40347</t>
        </is>
      </c>
      <c r="B353" s="21" t="n">
        <v>45717</v>
      </c>
      <c r="C353" s="20" t="inlineStr">
        <is>
          <t>C01</t>
        </is>
      </c>
      <c r="D353" s="20" t="inlineStr">
        <is>
          <t>Northfield Markets</t>
        </is>
      </c>
      <c r="E353" s="20" t="inlineStr">
        <is>
          <t>Grocery</t>
        </is>
      </c>
      <c r="F353" s="20" t="inlineStr">
        <is>
          <t>Snack Bars</t>
        </is>
      </c>
      <c r="G353" s="22" t="n">
        <v>10527</v>
      </c>
      <c r="H353" s="23" t="n">
        <v>30.46</v>
      </c>
      <c r="I353" s="23" t="n">
        <v>320652.42</v>
      </c>
      <c r="J353" s="23" t="n">
        <v>208434.6</v>
      </c>
      <c r="K353">
        <f>IF(OR(COUNTIF($A$5:A353,A353)&gt;1,G353&lt;0,C353="",B353&lt;'Work 1'!$C$6,B353&gt;'Work 1'!$C$7,H353&gt;'Work 1'!$C$8*AVERAGEIF($F$5:$F$1014,F353,$H$5:$H$1014)),"Excl",IF(B353&gt;='Work 1'!$C$5,"LTM","Prior"))</f>
        <v/>
      </c>
      <c r="L353">
        <f>I353-J353</f>
        <v/>
      </c>
    </row>
    <row r="354" ht="14.25" customHeight="1" s="54">
      <c r="A354" s="20" t="inlineStr">
        <is>
          <t>BH-40348</t>
        </is>
      </c>
      <c r="B354" s="21" t="n">
        <v>45717</v>
      </c>
      <c r="C354" s="20" t="inlineStr">
        <is>
          <t>C02</t>
        </is>
      </c>
      <c r="D354" s="20" t="inlineStr">
        <is>
          <t>Crestline Grocers</t>
        </is>
      </c>
      <c r="E354" s="20" t="inlineStr">
        <is>
          <t>Grocery</t>
        </is>
      </c>
      <c r="F354" s="20" t="inlineStr">
        <is>
          <t>Granola</t>
        </is>
      </c>
      <c r="G354" s="22" t="n">
        <v>3987</v>
      </c>
      <c r="H354" s="23" t="n">
        <v>40.55</v>
      </c>
      <c r="I354" s="23" t="n">
        <v>161672.85</v>
      </c>
      <c r="J354" s="23" t="n">
        <v>104060.7</v>
      </c>
      <c r="K354">
        <f>IF(OR(COUNTIF($A$5:A354,A354)&gt;1,G354&lt;0,C354="",B354&lt;'Work 1'!$C$6,B354&gt;'Work 1'!$C$7,H354&gt;'Work 1'!$C$8*AVERAGEIF($F$5:$F$1014,F354,$H$5:$H$1014)),"Excl",IF(B354&gt;='Work 1'!$C$5,"LTM","Prior"))</f>
        <v/>
      </c>
      <c r="L354">
        <f>I354-J354</f>
        <v/>
      </c>
    </row>
    <row r="355" ht="14.25" customHeight="1" s="54">
      <c r="A355" s="20" t="inlineStr">
        <is>
          <t>BH-40349</t>
        </is>
      </c>
      <c r="B355" s="21" t="n">
        <v>45717</v>
      </c>
      <c r="C355" s="20" t="inlineStr">
        <is>
          <t>C02</t>
        </is>
      </c>
      <c r="D355" s="20" t="inlineStr">
        <is>
          <t>Crestline Grocers</t>
        </is>
      </c>
      <c r="E355" s="20" t="inlineStr">
        <is>
          <t>Grocery</t>
        </is>
      </c>
      <c r="F355" s="20" t="inlineStr">
        <is>
          <t>Nut Butter</t>
        </is>
      </c>
      <c r="G355" s="22" t="n">
        <v>2080</v>
      </c>
      <c r="H355" s="23" t="n">
        <v>53.93</v>
      </c>
      <c r="I355" s="23" t="n">
        <v>112174.4</v>
      </c>
      <c r="J355" s="23" t="n">
        <v>79872</v>
      </c>
      <c r="K355">
        <f>IF(OR(COUNTIF($A$5:A355,A355)&gt;1,G355&lt;0,C355="",B355&lt;'Work 1'!$C$6,B355&gt;'Work 1'!$C$7,H355&gt;'Work 1'!$C$8*AVERAGEIF($F$5:$F$1014,F355,$H$5:$H$1014)),"Excl",IF(B355&gt;='Work 1'!$C$5,"LTM","Prior"))</f>
        <v/>
      </c>
      <c r="L355">
        <f>I355-J355</f>
        <v/>
      </c>
    </row>
    <row r="356" ht="14.25" customHeight="1" s="54">
      <c r="A356" s="20" t="inlineStr">
        <is>
          <t>BH-40350</t>
        </is>
      </c>
      <c r="B356" s="21" t="n">
        <v>45717</v>
      </c>
      <c r="C356" s="20" t="inlineStr">
        <is>
          <t>C02</t>
        </is>
      </c>
      <c r="D356" s="20" t="inlineStr">
        <is>
          <t>Crestline Grocers</t>
        </is>
      </c>
      <c r="E356" s="20" t="inlineStr">
        <is>
          <t>Grocery</t>
        </is>
      </c>
      <c r="F356" s="20" t="inlineStr">
        <is>
          <t>Snack Bars</t>
        </is>
      </c>
      <c r="G356" s="22" t="n">
        <v>3326</v>
      </c>
      <c r="H356" s="23" t="n">
        <v>31.43</v>
      </c>
      <c r="I356" s="23" t="n">
        <v>104536.18</v>
      </c>
      <c r="J356" s="23" t="n">
        <v>65854.8</v>
      </c>
      <c r="K356">
        <f>IF(OR(COUNTIF($A$5:A356,A356)&gt;1,G356&lt;0,C356="",B356&lt;'Work 1'!$C$6,B356&gt;'Work 1'!$C$7,H356&gt;'Work 1'!$C$8*AVERAGEIF($F$5:$F$1014,F356,$H$5:$H$1014)),"Excl",IF(B356&gt;='Work 1'!$C$5,"LTM","Prior"))</f>
        <v/>
      </c>
      <c r="L356">
        <f>I356-J356</f>
        <v/>
      </c>
    </row>
    <row r="357" ht="14.25" customHeight="1" s="54">
      <c r="A357" s="20" t="inlineStr">
        <is>
          <t>BH-40351</t>
        </is>
      </c>
      <c r="B357" s="21" t="n">
        <v>45717</v>
      </c>
      <c r="C357" s="20" t="inlineStr">
        <is>
          <t>C03</t>
        </is>
      </c>
      <c r="D357" s="20" t="inlineStr">
        <is>
          <t>ValuClub Warehouse</t>
        </is>
      </c>
      <c r="E357" s="20" t="inlineStr">
        <is>
          <t>Club</t>
        </is>
      </c>
      <c r="F357" s="20" t="inlineStr">
        <is>
          <t>Granola</t>
        </is>
      </c>
      <c r="G357" s="22" t="n">
        <v>12464</v>
      </c>
      <c r="H357" s="23" t="n">
        <v>35.9</v>
      </c>
      <c r="I357" s="23" t="n">
        <v>447457.6</v>
      </c>
      <c r="J357" s="23" t="n">
        <v>325310.4</v>
      </c>
      <c r="K357">
        <f>IF(OR(COUNTIF($A$5:A357,A357)&gt;1,G357&lt;0,C357="",B357&lt;'Work 1'!$C$6,B357&gt;'Work 1'!$C$7,H357&gt;'Work 1'!$C$8*AVERAGEIF($F$5:$F$1014,F357,$H$5:$H$1014)),"Excl",IF(B357&gt;='Work 1'!$C$5,"LTM","Prior"))</f>
        <v/>
      </c>
      <c r="L357">
        <f>I357-J357</f>
        <v/>
      </c>
    </row>
    <row r="358" ht="14.25" customHeight="1" s="54">
      <c r="A358" s="20" t="inlineStr">
        <is>
          <t>BH-40352</t>
        </is>
      </c>
      <c r="B358" s="21" t="n">
        <v>45717</v>
      </c>
      <c r="C358" s="20" t="inlineStr">
        <is>
          <t>C03</t>
        </is>
      </c>
      <c r="D358" s="20" t="inlineStr">
        <is>
          <t>ValuClub Warehouse</t>
        </is>
      </c>
      <c r="E358" s="20" t="inlineStr">
        <is>
          <t>Club</t>
        </is>
      </c>
      <c r="F358" s="20" t="inlineStr">
        <is>
          <t>Snack Bars</t>
        </is>
      </c>
      <c r="G358" s="22" t="n">
        <v>13047</v>
      </c>
      <c r="H358" s="23" t="n">
        <v>27.4</v>
      </c>
      <c r="I358" s="23" t="n">
        <v>357487.8</v>
      </c>
      <c r="J358" s="23" t="n">
        <v>258330.6</v>
      </c>
      <c r="K358">
        <f>IF(OR(COUNTIF($A$5:A358,A358)&gt;1,G358&lt;0,C358="",B358&lt;'Work 1'!$C$6,B358&gt;'Work 1'!$C$7,H358&gt;'Work 1'!$C$8*AVERAGEIF($F$5:$F$1014,F358,$H$5:$H$1014)),"Excl",IF(B358&gt;='Work 1'!$C$5,"LTM","Prior"))</f>
        <v/>
      </c>
      <c r="L358">
        <f>I358-J358</f>
        <v/>
      </c>
    </row>
    <row r="359" ht="14.25" customHeight="1" s="54">
      <c r="A359" s="20" t="inlineStr">
        <is>
          <t>BH-40353</t>
        </is>
      </c>
      <c r="B359" s="21" t="n">
        <v>45717</v>
      </c>
      <c r="C359" s="20" t="inlineStr">
        <is>
          <t>C04</t>
        </is>
      </c>
      <c r="D359" s="20" t="inlineStr">
        <is>
          <t>Harvest Lane Co-op</t>
        </is>
      </c>
      <c r="E359" s="20" t="inlineStr">
        <is>
          <t>Grocery</t>
        </is>
      </c>
      <c r="F359" s="20" t="inlineStr">
        <is>
          <t>Granola</t>
        </is>
      </c>
      <c r="G359" s="22" t="n">
        <v>2752</v>
      </c>
      <c r="H359" s="23" t="n">
        <v>41.8</v>
      </c>
      <c r="I359" s="23" t="n">
        <v>115033.6</v>
      </c>
      <c r="J359" s="23" t="n">
        <v>71827.2</v>
      </c>
      <c r="K359">
        <f>IF(OR(COUNTIF($A$5:A359,A359)&gt;1,G359&lt;0,C359="",B359&lt;'Work 1'!$C$6,B359&gt;'Work 1'!$C$7,H359&gt;'Work 1'!$C$8*AVERAGEIF($F$5:$F$1014,F359,$H$5:$H$1014)),"Excl",IF(B359&gt;='Work 1'!$C$5,"LTM","Prior"))</f>
        <v/>
      </c>
      <c r="L359">
        <f>I359-J359</f>
        <v/>
      </c>
    </row>
    <row r="360" ht="14.25" customHeight="1" s="54">
      <c r="A360" s="20" t="inlineStr">
        <is>
          <t>BH-40354</t>
        </is>
      </c>
      <c r="B360" s="21" t="n">
        <v>45717</v>
      </c>
      <c r="C360" s="20" t="inlineStr">
        <is>
          <t>C04</t>
        </is>
      </c>
      <c r="D360" s="20" t="inlineStr">
        <is>
          <t>Harvest Lane Co-op</t>
        </is>
      </c>
      <c r="E360" s="20" t="inlineStr">
        <is>
          <t>Grocery</t>
        </is>
      </c>
      <c r="F360" s="20" t="inlineStr">
        <is>
          <t>Nut Butter</t>
        </is>
      </c>
      <c r="G360" s="22" t="n">
        <v>1538</v>
      </c>
      <c r="H360" s="23" t="n">
        <v>55.6</v>
      </c>
      <c r="I360" s="23" t="n">
        <v>85512.8</v>
      </c>
      <c r="J360" s="23" t="n">
        <v>59059.2</v>
      </c>
      <c r="K360">
        <f>IF(OR(COUNTIF($A$5:A360,A360)&gt;1,G360&lt;0,C360="",B360&lt;'Work 1'!$C$6,B360&gt;'Work 1'!$C$7,H360&gt;'Work 1'!$C$8*AVERAGEIF($F$5:$F$1014,F360,$H$5:$H$1014)),"Excl",IF(B360&gt;='Work 1'!$C$5,"LTM","Prior"))</f>
        <v/>
      </c>
      <c r="L360">
        <f>I360-J360</f>
        <v/>
      </c>
    </row>
    <row r="361" ht="14.25" customHeight="1" s="54">
      <c r="A361" s="20" t="inlineStr">
        <is>
          <t>BH-40355</t>
        </is>
      </c>
      <c r="B361" s="21" t="n">
        <v>45717</v>
      </c>
      <c r="C361" s="20" t="inlineStr">
        <is>
          <t>C04</t>
        </is>
      </c>
      <c r="D361" s="20" t="inlineStr">
        <is>
          <t>Harvest Lane Co-op</t>
        </is>
      </c>
      <c r="E361" s="20" t="inlineStr">
        <is>
          <t>Grocery</t>
        </is>
      </c>
      <c r="F361" s="20" t="inlineStr">
        <is>
          <t>Snack Bars</t>
        </is>
      </c>
      <c r="G361" s="22" t="n">
        <v>1834</v>
      </c>
      <c r="H361" s="23" t="n">
        <v>32.4</v>
      </c>
      <c r="I361" s="23" t="n">
        <v>59421.6</v>
      </c>
      <c r="J361" s="23" t="n">
        <v>36313.2</v>
      </c>
      <c r="K361">
        <f>IF(OR(COUNTIF($A$5:A361,A361)&gt;1,G361&lt;0,C361="",B361&lt;'Work 1'!$C$6,B361&gt;'Work 1'!$C$7,H361&gt;'Work 1'!$C$8*AVERAGEIF($F$5:$F$1014,F361,$H$5:$H$1014)),"Excl",IF(B361&gt;='Work 1'!$C$5,"LTM","Prior"))</f>
        <v/>
      </c>
      <c r="L361">
        <f>I361-J361</f>
        <v/>
      </c>
    </row>
    <row r="362" ht="14.25" customHeight="1" s="54">
      <c r="A362" s="20" t="inlineStr">
        <is>
          <t>BH-40356</t>
        </is>
      </c>
      <c r="B362" s="21" t="n">
        <v>45717</v>
      </c>
      <c r="C362" s="20" t="inlineStr">
        <is>
          <t>C05</t>
        </is>
      </c>
      <c r="D362" s="20" t="inlineStr">
        <is>
          <t>Pioneer Foods Distribution</t>
        </is>
      </c>
      <c r="E362" s="20" t="inlineStr">
        <is>
          <t>Grocery</t>
        </is>
      </c>
      <c r="F362" s="20" t="inlineStr">
        <is>
          <t>Granola</t>
        </is>
      </c>
      <c r="G362" s="22" t="n">
        <v>3475</v>
      </c>
      <c r="H362" s="23" t="n">
        <v>37.62</v>
      </c>
      <c r="I362" s="23" t="n">
        <v>130729.5</v>
      </c>
      <c r="J362" s="23" t="n">
        <v>90697.5</v>
      </c>
      <c r="K362">
        <f>IF(OR(COUNTIF($A$5:A362,A362)&gt;1,G362&lt;0,C362="",B362&lt;'Work 1'!$C$6,B362&gt;'Work 1'!$C$7,H362&gt;'Work 1'!$C$8*AVERAGEIF($F$5:$F$1014,F362,$H$5:$H$1014)),"Excl",IF(B362&gt;='Work 1'!$C$5,"LTM","Prior"))</f>
        <v/>
      </c>
      <c r="L362">
        <f>I362-J362</f>
        <v/>
      </c>
    </row>
    <row r="363" ht="14.25" customHeight="1" s="54">
      <c r="A363" s="20" t="inlineStr">
        <is>
          <t>BH-40357</t>
        </is>
      </c>
      <c r="B363" s="21" t="n">
        <v>45717</v>
      </c>
      <c r="C363" s="20" t="inlineStr">
        <is>
          <t>C05</t>
        </is>
      </c>
      <c r="D363" s="20" t="inlineStr">
        <is>
          <t>Pioneer Foods Distribution</t>
        </is>
      </c>
      <c r="E363" s="20" t="inlineStr">
        <is>
          <t>Grocery</t>
        </is>
      </c>
      <c r="F363" s="20" t="inlineStr">
        <is>
          <t>Nut Butter</t>
        </is>
      </c>
      <c r="G363" s="22" t="n">
        <v>1929</v>
      </c>
      <c r="H363" s="23" t="n">
        <v>50.04</v>
      </c>
      <c r="I363" s="23" t="n">
        <v>96527.16</v>
      </c>
      <c r="J363" s="23" t="n">
        <v>74073.60000000001</v>
      </c>
      <c r="K363">
        <f>IF(OR(COUNTIF($A$5:A363,A363)&gt;1,G363&lt;0,C363="",B363&lt;'Work 1'!$C$6,B363&gt;'Work 1'!$C$7,H363&gt;'Work 1'!$C$8*AVERAGEIF($F$5:$F$1014,F363,$H$5:$H$1014)),"Excl",IF(B363&gt;='Work 1'!$C$5,"LTM","Prior"))</f>
        <v/>
      </c>
      <c r="L363">
        <f>I363-J363</f>
        <v/>
      </c>
    </row>
    <row r="364" ht="14.25" customHeight="1" s="54">
      <c r="A364" s="20" t="inlineStr">
        <is>
          <t>BH-40358</t>
        </is>
      </c>
      <c r="B364" s="21" t="n">
        <v>45717</v>
      </c>
      <c r="C364" s="20" t="inlineStr">
        <is>
          <t>C05</t>
        </is>
      </c>
      <c r="D364" s="20" t="inlineStr">
        <is>
          <t>Pioneer Foods Distribution</t>
        </is>
      </c>
      <c r="E364" s="20" t="inlineStr">
        <is>
          <t>Grocery</t>
        </is>
      </c>
      <c r="F364" s="20" t="inlineStr">
        <is>
          <t>Snack Bars</t>
        </is>
      </c>
      <c r="G364" s="22" t="n">
        <v>3142</v>
      </c>
      <c r="H364" s="23" t="n">
        <v>29.16</v>
      </c>
      <c r="I364" s="23" t="n">
        <v>91620.72</v>
      </c>
      <c r="J364" s="23" t="n">
        <v>62211.6</v>
      </c>
      <c r="K364">
        <f>IF(OR(COUNTIF($A$5:A364,A364)&gt;1,G364&lt;0,C364="",B364&lt;'Work 1'!$C$6,B364&gt;'Work 1'!$C$7,H364&gt;'Work 1'!$C$8*AVERAGEIF($F$5:$F$1014,F364,$H$5:$H$1014)),"Excl",IF(B364&gt;='Work 1'!$C$5,"LTM","Prior"))</f>
        <v/>
      </c>
      <c r="L364">
        <f>I364-J364</f>
        <v/>
      </c>
    </row>
    <row r="365" ht="14.25" customHeight="1" s="54">
      <c r="A365" s="20" t="inlineStr">
        <is>
          <t>BH-40359</t>
        </is>
      </c>
      <c r="B365" s="21" t="n">
        <v>45717</v>
      </c>
      <c r="C365" s="20" t="inlineStr">
        <is>
          <t>C06</t>
        </is>
      </c>
      <c r="D365" s="20" t="inlineStr">
        <is>
          <t>Summit Club Stores</t>
        </is>
      </c>
      <c r="E365" s="20" t="inlineStr">
        <is>
          <t>Club</t>
        </is>
      </c>
      <c r="F365" s="20" t="inlineStr">
        <is>
          <t>Granola</t>
        </is>
      </c>
      <c r="G365" s="22" t="n">
        <v>5074</v>
      </c>
      <c r="H365" s="23" t="n">
        <v>35.9</v>
      </c>
      <c r="I365" s="23" t="n">
        <v>182156.6</v>
      </c>
      <c r="J365" s="23" t="n">
        <v>132431.4</v>
      </c>
      <c r="K365">
        <f>IF(OR(COUNTIF($A$5:A365,A365)&gt;1,G365&lt;0,C365="",B365&lt;'Work 1'!$C$6,B365&gt;'Work 1'!$C$7,H365&gt;'Work 1'!$C$8*AVERAGEIF($F$5:$F$1014,F365,$H$5:$H$1014)),"Excl",IF(B365&gt;='Work 1'!$C$5,"LTM","Prior"))</f>
        <v/>
      </c>
      <c r="L365">
        <f>I365-J365</f>
        <v/>
      </c>
    </row>
    <row r="366" ht="14.25" customHeight="1" s="54">
      <c r="A366" s="20" t="inlineStr">
        <is>
          <t>BH-40360</t>
        </is>
      </c>
      <c r="B366" s="21" t="n">
        <v>45717</v>
      </c>
      <c r="C366" s="20" t="inlineStr">
        <is>
          <t>C06</t>
        </is>
      </c>
      <c r="D366" s="20" t="inlineStr">
        <is>
          <t>Summit Club Stores</t>
        </is>
      </c>
      <c r="E366" s="20" t="inlineStr">
        <is>
          <t>Club</t>
        </is>
      </c>
      <c r="F366" s="20" t="inlineStr">
        <is>
          <t>Nut Butter</t>
        </is>
      </c>
      <c r="G366" s="22" t="n">
        <v>2604</v>
      </c>
      <c r="H366" s="23" t="n">
        <v>47.8</v>
      </c>
      <c r="I366" s="23" t="n">
        <v>124471.2</v>
      </c>
      <c r="J366" s="23" t="n">
        <v>99993.60000000001</v>
      </c>
      <c r="K366">
        <f>IF(OR(COUNTIF($A$5:A366,A366)&gt;1,G366&lt;0,C366="",B366&lt;'Work 1'!$C$6,B366&gt;'Work 1'!$C$7,H366&gt;'Work 1'!$C$8*AVERAGEIF($F$5:$F$1014,F366,$H$5:$H$1014)),"Excl",IF(B366&gt;='Work 1'!$C$5,"LTM","Prior"))</f>
        <v/>
      </c>
      <c r="L366">
        <f>I366-J366</f>
        <v/>
      </c>
    </row>
    <row r="367" ht="14.25" customHeight="1" s="54">
      <c r="A367" s="20" t="inlineStr">
        <is>
          <t>BH-40361</t>
        </is>
      </c>
      <c r="B367" s="21" t="n">
        <v>45717</v>
      </c>
      <c r="C367" s="20" t="inlineStr">
        <is>
          <t>C07</t>
        </is>
      </c>
      <c r="D367" s="20" t="inlineStr">
        <is>
          <t>Bramble Hill Online Store</t>
        </is>
      </c>
      <c r="E367" s="20" t="inlineStr">
        <is>
          <t>Online</t>
        </is>
      </c>
      <c r="F367" s="20" t="inlineStr">
        <is>
          <t>Granola</t>
        </is>
      </c>
      <c r="G367" s="22" t="n">
        <v>3480</v>
      </c>
      <c r="H367" s="23" t="n">
        <v>47.5</v>
      </c>
      <c r="I367" s="23" t="n">
        <v>165300</v>
      </c>
      <c r="J367" s="23" t="n">
        <v>90828</v>
      </c>
      <c r="K367">
        <f>IF(OR(COUNTIF($A$5:A367,A367)&gt;1,G367&lt;0,C367="",B367&lt;'Work 1'!$C$6,B367&gt;'Work 1'!$C$7,H367&gt;'Work 1'!$C$8*AVERAGEIF($F$5:$F$1014,F367,$H$5:$H$1014)),"Excl",IF(B367&gt;='Work 1'!$C$5,"LTM","Prior"))</f>
        <v/>
      </c>
      <c r="L367">
        <f>I367-J367</f>
        <v/>
      </c>
    </row>
    <row r="368" ht="14.25" customHeight="1" s="54">
      <c r="A368" s="20" t="inlineStr">
        <is>
          <t>BH-40362</t>
        </is>
      </c>
      <c r="B368" s="21" t="n">
        <v>45717</v>
      </c>
      <c r="C368" s="20" t="inlineStr">
        <is>
          <t>C07</t>
        </is>
      </c>
      <c r="D368" s="20" t="inlineStr">
        <is>
          <t>Bramble Hill Online Store</t>
        </is>
      </c>
      <c r="E368" s="20" t="inlineStr">
        <is>
          <t>Online</t>
        </is>
      </c>
      <c r="F368" s="20" t="inlineStr">
        <is>
          <t>Nut Butter</t>
        </is>
      </c>
      <c r="G368" s="22" t="n">
        <v>1897</v>
      </c>
      <c r="H368" s="23" t="n">
        <v>61.9</v>
      </c>
      <c r="I368" s="23" t="n">
        <v>117424.3</v>
      </c>
      <c r="J368" s="23" t="n">
        <v>72844.8</v>
      </c>
      <c r="K368">
        <f>IF(OR(COUNTIF($A$5:A368,A368)&gt;1,G368&lt;0,C368="",B368&lt;'Work 1'!$C$6,B368&gt;'Work 1'!$C$7,H368&gt;'Work 1'!$C$8*AVERAGEIF($F$5:$F$1014,F368,$H$5:$H$1014)),"Excl",IF(B368&gt;='Work 1'!$C$5,"LTM","Prior"))</f>
        <v/>
      </c>
      <c r="L368">
        <f>I368-J368</f>
        <v/>
      </c>
    </row>
    <row r="369" ht="14.25" customHeight="1" s="54">
      <c r="A369" s="20" t="inlineStr">
        <is>
          <t>BH-40363</t>
        </is>
      </c>
      <c r="B369" s="21" t="n">
        <v>45717</v>
      </c>
      <c r="C369" s="20" t="inlineStr">
        <is>
          <t>C07</t>
        </is>
      </c>
      <c r="D369" s="20" t="inlineStr">
        <is>
          <t>Bramble Hill Online Store</t>
        </is>
      </c>
      <c r="E369" s="20" t="inlineStr">
        <is>
          <t>Online</t>
        </is>
      </c>
      <c r="F369" s="20" t="inlineStr">
        <is>
          <t>Snack Bars</t>
        </is>
      </c>
      <c r="G369" s="22" t="n">
        <v>2419</v>
      </c>
      <c r="H369" s="23" t="n">
        <v>37.8</v>
      </c>
      <c r="I369" s="23" t="n">
        <v>91438.2</v>
      </c>
      <c r="J369" s="23" t="n">
        <v>47896.2</v>
      </c>
      <c r="K369">
        <f>IF(OR(COUNTIF($A$5:A369,A369)&gt;1,G369&lt;0,C369="",B369&lt;'Work 1'!$C$6,B369&gt;'Work 1'!$C$7,H369&gt;'Work 1'!$C$8*AVERAGEIF($F$5:$F$1014,F369,$H$5:$H$1014)),"Excl",IF(B369&gt;='Work 1'!$C$5,"LTM","Prior"))</f>
        <v/>
      </c>
      <c r="L369">
        <f>I369-J369</f>
        <v/>
      </c>
    </row>
    <row r="370" ht="14.25" customHeight="1" s="54">
      <c r="A370" s="20" t="inlineStr">
        <is>
          <t>BH-40364</t>
        </is>
      </c>
      <c r="B370" s="21" t="n">
        <v>45717</v>
      </c>
      <c r="C370" s="20" t="inlineStr">
        <is>
          <t>C08</t>
        </is>
      </c>
      <c r="D370" s="20" t="inlineStr">
        <is>
          <t>Online Marketplace</t>
        </is>
      </c>
      <c r="E370" s="20" t="inlineStr">
        <is>
          <t>Online</t>
        </is>
      </c>
      <c r="F370" s="20" t="inlineStr">
        <is>
          <t>Granola</t>
        </is>
      </c>
      <c r="G370" s="22" t="n">
        <v>3213</v>
      </c>
      <c r="H370" s="23" t="n">
        <v>41.8</v>
      </c>
      <c r="I370" s="23" t="n">
        <v>134303.4</v>
      </c>
      <c r="J370" s="23" t="n">
        <v>83859.3</v>
      </c>
      <c r="K370">
        <f>IF(OR(COUNTIF($A$5:A370,A370)&gt;1,G370&lt;0,C370="",B370&lt;'Work 1'!$C$6,B370&gt;'Work 1'!$C$7,H370&gt;'Work 1'!$C$8*AVERAGEIF($F$5:$F$1014,F370,$H$5:$H$1014)),"Excl",IF(B370&gt;='Work 1'!$C$5,"LTM","Prior"))</f>
        <v/>
      </c>
      <c r="L370">
        <f>I370-J370</f>
        <v/>
      </c>
    </row>
    <row r="371" ht="14.25" customHeight="1" s="54">
      <c r="A371" s="20" t="inlineStr">
        <is>
          <t>BH-40365</t>
        </is>
      </c>
      <c r="B371" s="21" t="n">
        <v>45717</v>
      </c>
      <c r="C371" s="20" t="inlineStr">
        <is>
          <t>C08</t>
        </is>
      </c>
      <c r="D371" s="20" t="inlineStr">
        <is>
          <t>Online Marketplace</t>
        </is>
      </c>
      <c r="E371" s="20" t="inlineStr">
        <is>
          <t>Online</t>
        </is>
      </c>
      <c r="F371" s="20" t="inlineStr">
        <is>
          <t>Nut Butter</t>
        </is>
      </c>
      <c r="G371" s="22" t="n">
        <v>1765</v>
      </c>
      <c r="H371" s="23" t="n">
        <v>54.47</v>
      </c>
      <c r="I371" s="23" t="n">
        <v>96139.55</v>
      </c>
      <c r="J371" s="23" t="n">
        <v>67776</v>
      </c>
      <c r="K371">
        <f>IF(OR(COUNTIF($A$5:A371,A371)&gt;1,G371&lt;0,C371="",B371&lt;'Work 1'!$C$6,B371&gt;'Work 1'!$C$7,H371&gt;'Work 1'!$C$8*AVERAGEIF($F$5:$F$1014,F371,$H$5:$H$1014)),"Excl",IF(B371&gt;='Work 1'!$C$5,"LTM","Prior"))</f>
        <v/>
      </c>
      <c r="L371">
        <f>I371-J371</f>
        <v/>
      </c>
    </row>
    <row r="372" ht="14.25" customHeight="1" s="54">
      <c r="A372" s="20" t="inlineStr">
        <is>
          <t>BH-40366</t>
        </is>
      </c>
      <c r="B372" s="21" t="n">
        <v>45717</v>
      </c>
      <c r="C372" s="20" t="inlineStr">
        <is>
          <t>C08</t>
        </is>
      </c>
      <c r="D372" s="20" t="inlineStr">
        <is>
          <t>Online Marketplace</t>
        </is>
      </c>
      <c r="E372" s="20" t="inlineStr">
        <is>
          <t>Online</t>
        </is>
      </c>
      <c r="F372" s="20" t="inlineStr">
        <is>
          <t>Snack Bars</t>
        </is>
      </c>
      <c r="G372" s="22" t="n">
        <v>2855</v>
      </c>
      <c r="H372" s="23" t="n">
        <v>33.26</v>
      </c>
      <c r="I372" s="23" t="n">
        <v>94957.3</v>
      </c>
      <c r="J372" s="23" t="n">
        <v>56529</v>
      </c>
      <c r="K372">
        <f>IF(OR(COUNTIF($A$5:A372,A372)&gt;1,G372&lt;0,C372="",B372&lt;'Work 1'!$C$6,B372&gt;'Work 1'!$C$7,H372&gt;'Work 1'!$C$8*AVERAGEIF($F$5:$F$1014,F372,$H$5:$H$1014)),"Excl",IF(B372&gt;='Work 1'!$C$5,"LTM","Prior"))</f>
        <v/>
      </c>
      <c r="L372">
        <f>I372-J372</f>
        <v/>
      </c>
    </row>
    <row r="373" ht="14.25" customHeight="1" s="54">
      <c r="A373" s="20" t="inlineStr">
        <is>
          <t>BH-40367</t>
        </is>
      </c>
      <c r="B373" s="21" t="n">
        <v>45717</v>
      </c>
      <c r="C373" s="20" t="inlineStr">
        <is>
          <t>C09</t>
        </is>
      </c>
      <c r="D373" s="20" t="inlineStr">
        <is>
          <t>Maple Ridge Grocers</t>
        </is>
      </c>
      <c r="E373" s="20" t="inlineStr">
        <is>
          <t>Grocery</t>
        </is>
      </c>
      <c r="F373" s="20" t="inlineStr">
        <is>
          <t>Granola</t>
        </is>
      </c>
      <c r="G373" s="22" t="n">
        <v>1651</v>
      </c>
      <c r="H373" s="23" t="n">
        <v>41.8</v>
      </c>
      <c r="I373" s="23" t="n">
        <v>69011.8</v>
      </c>
      <c r="J373" s="23" t="n">
        <v>43091.1</v>
      </c>
      <c r="K373">
        <f>IF(OR(COUNTIF($A$5:A373,A373)&gt;1,G373&lt;0,C373="",B373&lt;'Work 1'!$C$6,B373&gt;'Work 1'!$C$7,H373&gt;'Work 1'!$C$8*AVERAGEIF($F$5:$F$1014,F373,$H$5:$H$1014)),"Excl",IF(B373&gt;='Work 1'!$C$5,"LTM","Prior"))</f>
        <v/>
      </c>
      <c r="L373">
        <f>I373-J373</f>
        <v/>
      </c>
    </row>
    <row r="374" ht="14.25" customHeight="1" s="54">
      <c r="A374" s="20" t="inlineStr">
        <is>
          <t>BH-40368</t>
        </is>
      </c>
      <c r="B374" s="21" t="n">
        <v>45717</v>
      </c>
      <c r="C374" s="20" t="inlineStr">
        <is>
          <t>C09</t>
        </is>
      </c>
      <c r="D374" s="20" t="inlineStr">
        <is>
          <t>Maple Ridge Grocers</t>
        </is>
      </c>
      <c r="E374" s="20" t="inlineStr">
        <is>
          <t>Grocery</t>
        </is>
      </c>
      <c r="F374" s="20" t="inlineStr">
        <is>
          <t>Snack Bars</t>
        </is>
      </c>
      <c r="G374" s="22" t="n">
        <v>1271</v>
      </c>
      <c r="H374" s="23" t="n">
        <v>32.4</v>
      </c>
      <c r="I374" s="23" t="n">
        <v>41180.4</v>
      </c>
      <c r="J374" s="23" t="n">
        <v>25165.8</v>
      </c>
      <c r="K374">
        <f>IF(OR(COUNTIF($A$5:A374,A374)&gt;1,G374&lt;0,C374="",B374&lt;'Work 1'!$C$6,B374&gt;'Work 1'!$C$7,H374&gt;'Work 1'!$C$8*AVERAGEIF($F$5:$F$1014,F374,$H$5:$H$1014)),"Excl",IF(B374&gt;='Work 1'!$C$5,"LTM","Prior"))</f>
        <v/>
      </c>
      <c r="L374">
        <f>I374-J374</f>
        <v/>
      </c>
    </row>
    <row r="375" ht="14.25" customHeight="1" s="54">
      <c r="A375" s="20" t="inlineStr">
        <is>
          <t>BH-40369</t>
        </is>
      </c>
      <c r="B375" s="21" t="n">
        <v>45717</v>
      </c>
      <c r="C375" s="20" t="inlineStr">
        <is>
          <t>C10</t>
        </is>
      </c>
      <c r="D375" s="20" t="inlineStr">
        <is>
          <t>Lakeshore Foods</t>
        </is>
      </c>
      <c r="E375" s="20" t="inlineStr">
        <is>
          <t>Grocery</t>
        </is>
      </c>
      <c r="F375" s="20" t="inlineStr">
        <is>
          <t>Granola</t>
        </is>
      </c>
      <c r="G375" s="22" t="n">
        <v>1379</v>
      </c>
      <c r="H375" s="23" t="n">
        <v>41.8</v>
      </c>
      <c r="I375" s="23" t="n">
        <v>57642.2</v>
      </c>
      <c r="J375" s="23" t="n">
        <v>35991.9</v>
      </c>
      <c r="K375">
        <f>IF(OR(COUNTIF($A$5:A375,A375)&gt;1,G375&lt;0,C375="",B375&lt;'Work 1'!$C$6,B375&gt;'Work 1'!$C$7,H375&gt;'Work 1'!$C$8*AVERAGEIF($F$5:$F$1014,F375,$H$5:$H$1014)),"Excl",IF(B375&gt;='Work 1'!$C$5,"LTM","Prior"))</f>
        <v/>
      </c>
      <c r="L375">
        <f>I375-J375</f>
        <v/>
      </c>
    </row>
    <row r="376" ht="14.25" customHeight="1" s="54">
      <c r="A376" s="20" t="inlineStr">
        <is>
          <t>BH-40370</t>
        </is>
      </c>
      <c r="B376" s="21" t="n">
        <v>45717</v>
      </c>
      <c r="C376" s="20" t="inlineStr">
        <is>
          <t>C10</t>
        </is>
      </c>
      <c r="D376" s="20" t="inlineStr">
        <is>
          <t>Lakeshore Foods</t>
        </is>
      </c>
      <c r="E376" s="20" t="inlineStr">
        <is>
          <t>Grocery</t>
        </is>
      </c>
      <c r="F376" s="20" t="inlineStr">
        <is>
          <t>Nut Butter</t>
        </is>
      </c>
      <c r="G376" s="22" t="n">
        <v>602</v>
      </c>
      <c r="H376" s="23" t="n">
        <v>55.6</v>
      </c>
      <c r="I376" s="23" t="n">
        <v>33471.2</v>
      </c>
      <c r="J376" s="23" t="n">
        <v>23116.8</v>
      </c>
      <c r="K376">
        <f>IF(OR(COUNTIF($A$5:A376,A376)&gt;1,G376&lt;0,C376="",B376&lt;'Work 1'!$C$6,B376&gt;'Work 1'!$C$7,H376&gt;'Work 1'!$C$8*AVERAGEIF($F$5:$F$1014,F376,$H$5:$H$1014)),"Excl",IF(B376&gt;='Work 1'!$C$5,"LTM","Prior"))</f>
        <v/>
      </c>
      <c r="L376">
        <f>I376-J376</f>
        <v/>
      </c>
    </row>
    <row r="377" ht="14.25" customHeight="1" s="54">
      <c r="A377" s="20" t="inlineStr">
        <is>
          <t>BH-40371</t>
        </is>
      </c>
      <c r="B377" s="21" t="n">
        <v>45717</v>
      </c>
      <c r="C377" s="20" t="inlineStr">
        <is>
          <t>C11</t>
        </is>
      </c>
      <c r="D377" s="20" t="inlineStr">
        <is>
          <t>Copper Valley Market</t>
        </is>
      </c>
      <c r="E377" s="20" t="inlineStr">
        <is>
          <t>Grocery</t>
        </is>
      </c>
      <c r="F377" s="20" t="inlineStr">
        <is>
          <t>Granola</t>
        </is>
      </c>
      <c r="G377" s="22" t="n">
        <v>1190</v>
      </c>
      <c r="H377" s="23" t="n">
        <v>41.8</v>
      </c>
      <c r="I377" s="23" t="n">
        <v>49742</v>
      </c>
      <c r="J377" s="23" t="n">
        <v>31059</v>
      </c>
      <c r="K377">
        <f>IF(OR(COUNTIF($A$5:A377,A377)&gt;1,G377&lt;0,C377="",B377&lt;'Work 1'!$C$6,B377&gt;'Work 1'!$C$7,H377&gt;'Work 1'!$C$8*AVERAGEIF($F$5:$F$1014,F377,$H$5:$H$1014)),"Excl",IF(B377&gt;='Work 1'!$C$5,"LTM","Prior"))</f>
        <v/>
      </c>
      <c r="L377">
        <f>I377-J377</f>
        <v/>
      </c>
    </row>
    <row r="378" ht="14.25" customHeight="1" s="54">
      <c r="A378" s="20" t="inlineStr">
        <is>
          <t>BH-40372</t>
        </is>
      </c>
      <c r="B378" s="21" t="n">
        <v>45717</v>
      </c>
      <c r="C378" s="20" t="inlineStr">
        <is>
          <t>C11</t>
        </is>
      </c>
      <c r="D378" s="20" t="inlineStr">
        <is>
          <t>Copper Valley Market</t>
        </is>
      </c>
      <c r="E378" s="20" t="inlineStr">
        <is>
          <t>Grocery</t>
        </is>
      </c>
      <c r="F378" s="20" t="inlineStr">
        <is>
          <t>Snack Bars</t>
        </is>
      </c>
      <c r="G378" s="22" t="n">
        <v>1328</v>
      </c>
      <c r="H378" s="23" t="n">
        <v>32.4</v>
      </c>
      <c r="I378" s="23" t="n">
        <v>43027.2</v>
      </c>
      <c r="J378" s="23" t="n">
        <v>26294.4</v>
      </c>
      <c r="K378">
        <f>IF(OR(COUNTIF($A$5:A378,A378)&gt;1,G378&lt;0,C378="",B378&lt;'Work 1'!$C$6,B378&gt;'Work 1'!$C$7,H378&gt;'Work 1'!$C$8*AVERAGEIF($F$5:$F$1014,F378,$H$5:$H$1014)),"Excl",IF(B378&gt;='Work 1'!$C$5,"LTM","Prior"))</f>
        <v/>
      </c>
      <c r="L378">
        <f>I378-J378</f>
        <v/>
      </c>
    </row>
    <row r="379" ht="14.25" customHeight="1" s="54">
      <c r="A379" s="20" t="inlineStr">
        <is>
          <t>BH-40373</t>
        </is>
      </c>
      <c r="B379" s="21" t="n">
        <v>45717</v>
      </c>
      <c r="C379" s="20" t="inlineStr">
        <is>
          <t>C12</t>
        </is>
      </c>
      <c r="D379" s="20" t="inlineStr">
        <is>
          <t>Riverbend Grocery</t>
        </is>
      </c>
      <c r="E379" s="20" t="inlineStr">
        <is>
          <t>Grocery</t>
        </is>
      </c>
      <c r="F379" s="20" t="inlineStr">
        <is>
          <t>Granola</t>
        </is>
      </c>
      <c r="G379" s="22" t="n">
        <v>1762</v>
      </c>
      <c r="H379" s="23" t="n">
        <v>41.8</v>
      </c>
      <c r="I379" s="23" t="n">
        <v>73651.60000000001</v>
      </c>
      <c r="J379" s="23" t="n">
        <v>45988.2</v>
      </c>
      <c r="K379">
        <f>IF(OR(COUNTIF($A$5:A379,A379)&gt;1,G379&lt;0,C379="",B379&lt;'Work 1'!$C$6,B379&gt;'Work 1'!$C$7,H379&gt;'Work 1'!$C$8*AVERAGEIF($F$5:$F$1014,F379,$H$5:$H$1014)),"Excl",IF(B379&gt;='Work 1'!$C$5,"LTM","Prior"))</f>
        <v/>
      </c>
      <c r="L379">
        <f>I379-J379</f>
        <v/>
      </c>
    </row>
    <row r="380" ht="14.25" customHeight="1" s="54">
      <c r="A380" s="20" t="inlineStr">
        <is>
          <t>BH-40374</t>
        </is>
      </c>
      <c r="B380" s="21" t="n">
        <v>45717</v>
      </c>
      <c r="C380" s="20" t="inlineStr">
        <is>
          <t>C12</t>
        </is>
      </c>
      <c r="D380" s="20" t="inlineStr">
        <is>
          <t>Riverbend Grocery</t>
        </is>
      </c>
      <c r="E380" s="20" t="inlineStr">
        <is>
          <t>Grocery</t>
        </is>
      </c>
      <c r="F380" s="20" t="inlineStr">
        <is>
          <t>Nut Butter</t>
        </is>
      </c>
      <c r="G380" s="22" t="n">
        <v>757</v>
      </c>
      <c r="H380" s="23" t="n">
        <v>55.6</v>
      </c>
      <c r="I380" s="23" t="n">
        <v>42089.2</v>
      </c>
      <c r="J380" s="23" t="n">
        <v>29068.8</v>
      </c>
      <c r="K380">
        <f>IF(OR(COUNTIF($A$5:A380,A380)&gt;1,G380&lt;0,C380="",B380&lt;'Work 1'!$C$6,B380&gt;'Work 1'!$C$7,H380&gt;'Work 1'!$C$8*AVERAGEIF($F$5:$F$1014,F380,$H$5:$H$1014)),"Excl",IF(B380&gt;='Work 1'!$C$5,"LTM","Prior"))</f>
        <v/>
      </c>
      <c r="L380">
        <f>I380-J380</f>
        <v/>
      </c>
    </row>
    <row r="381" ht="14.25" customHeight="1" s="54">
      <c r="A381" s="20" t="inlineStr">
        <is>
          <t>BH-40375</t>
        </is>
      </c>
      <c r="B381" s="21" t="n">
        <v>45717</v>
      </c>
      <c r="C381" s="20" t="inlineStr">
        <is>
          <t>C13</t>
        </is>
      </c>
      <c r="D381" s="20" t="inlineStr">
        <is>
          <t>Sunfield Markets</t>
        </is>
      </c>
      <c r="E381" s="20" t="inlineStr">
        <is>
          <t>Grocery</t>
        </is>
      </c>
      <c r="F381" s="20" t="inlineStr">
        <is>
          <t>Granola</t>
        </is>
      </c>
      <c r="G381" s="22" t="n">
        <v>1035</v>
      </c>
      <c r="H381" s="23" t="n">
        <v>41.8</v>
      </c>
      <c r="I381" s="23" t="n">
        <v>43263</v>
      </c>
      <c r="J381" s="23" t="n">
        <v>27013.5</v>
      </c>
      <c r="K381">
        <f>IF(OR(COUNTIF($A$5:A381,A381)&gt;1,G381&lt;0,C381="",B381&lt;'Work 1'!$C$6,B381&gt;'Work 1'!$C$7,H381&gt;'Work 1'!$C$8*AVERAGEIF($F$5:$F$1014,F381,$H$5:$H$1014)),"Excl",IF(B381&gt;='Work 1'!$C$5,"LTM","Prior"))</f>
        <v/>
      </c>
      <c r="L381">
        <f>I381-J381</f>
        <v/>
      </c>
    </row>
    <row r="382" ht="14.25" customHeight="1" s="54">
      <c r="A382" s="20" t="inlineStr">
        <is>
          <t>BH-40376</t>
        </is>
      </c>
      <c r="B382" s="21" t="n">
        <v>45717</v>
      </c>
      <c r="C382" s="20" t="inlineStr">
        <is>
          <t>C13</t>
        </is>
      </c>
      <c r="D382" s="20" t="inlineStr">
        <is>
          <t>Sunfield Markets</t>
        </is>
      </c>
      <c r="E382" s="20" t="inlineStr">
        <is>
          <t>Grocery</t>
        </is>
      </c>
      <c r="F382" s="20" t="inlineStr">
        <is>
          <t>Snack Bars</t>
        </is>
      </c>
      <c r="G382" s="22" t="n">
        <v>1034</v>
      </c>
      <c r="H382" s="23" t="n">
        <v>32.4</v>
      </c>
      <c r="I382" s="23" t="n">
        <v>33501.6</v>
      </c>
      <c r="J382" s="23" t="n">
        <v>20473.2</v>
      </c>
      <c r="K382">
        <f>IF(OR(COUNTIF($A$5:A382,A382)&gt;1,G382&lt;0,C382="",B382&lt;'Work 1'!$C$6,B382&gt;'Work 1'!$C$7,H382&gt;'Work 1'!$C$8*AVERAGEIF($F$5:$F$1014,F382,$H$5:$H$1014)),"Excl",IF(B382&gt;='Work 1'!$C$5,"LTM","Prior"))</f>
        <v/>
      </c>
      <c r="L382">
        <f>I382-J382</f>
        <v/>
      </c>
    </row>
    <row r="383" ht="14.25" customHeight="1" s="54">
      <c r="A383" s="20" t="inlineStr">
        <is>
          <t>BH-40377</t>
        </is>
      </c>
      <c r="B383" s="21" t="n">
        <v>45717</v>
      </c>
      <c r="C383" s="20" t="inlineStr">
        <is>
          <t>C14</t>
        </is>
      </c>
      <c r="D383" s="20" t="inlineStr">
        <is>
          <t>Oak Hollow Foods</t>
        </is>
      </c>
      <c r="E383" s="20" t="inlineStr">
        <is>
          <t>Grocery</t>
        </is>
      </c>
      <c r="F383" s="20" t="inlineStr">
        <is>
          <t>Granola</t>
        </is>
      </c>
      <c r="G383" s="22" t="n">
        <v>1170</v>
      </c>
      <c r="H383" s="23" t="n">
        <v>41.8</v>
      </c>
      <c r="I383" s="23" t="n">
        <v>48906</v>
      </c>
      <c r="J383" s="23" t="n">
        <v>30537</v>
      </c>
      <c r="K383">
        <f>IF(OR(COUNTIF($A$5:A383,A383)&gt;1,G383&lt;0,C383="",B383&lt;'Work 1'!$C$6,B383&gt;'Work 1'!$C$7,H383&gt;'Work 1'!$C$8*AVERAGEIF($F$5:$F$1014,F383,$H$5:$H$1014)),"Excl",IF(B383&gt;='Work 1'!$C$5,"LTM","Prior"))</f>
        <v/>
      </c>
      <c r="L383">
        <f>I383-J383</f>
        <v/>
      </c>
    </row>
    <row r="384" ht="14.25" customHeight="1" s="54">
      <c r="A384" s="20" t="inlineStr">
        <is>
          <t>BH-40378</t>
        </is>
      </c>
      <c r="B384" s="21" t="n">
        <v>45717</v>
      </c>
      <c r="C384" s="20" t="inlineStr">
        <is>
          <t>C14</t>
        </is>
      </c>
      <c r="D384" s="20" t="inlineStr">
        <is>
          <t>Oak Hollow Foods</t>
        </is>
      </c>
      <c r="E384" s="20" t="inlineStr">
        <is>
          <t>Grocery</t>
        </is>
      </c>
      <c r="F384" s="20" t="inlineStr">
        <is>
          <t>Nut Butter</t>
        </is>
      </c>
      <c r="G384" s="22" t="n">
        <v>427</v>
      </c>
      <c r="H384" s="23" t="n">
        <v>55.6</v>
      </c>
      <c r="I384" s="23" t="n">
        <v>23741.2</v>
      </c>
      <c r="J384" s="23" t="n">
        <v>16396.8</v>
      </c>
      <c r="K384">
        <f>IF(OR(COUNTIF($A$5:A384,A384)&gt;1,G384&lt;0,C384="",B384&lt;'Work 1'!$C$6,B384&gt;'Work 1'!$C$7,H384&gt;'Work 1'!$C$8*AVERAGEIF($F$5:$F$1014,F384,$H$5:$H$1014)),"Excl",IF(B384&gt;='Work 1'!$C$5,"LTM","Prior"))</f>
        <v/>
      </c>
      <c r="L384">
        <f>I384-J384</f>
        <v/>
      </c>
    </row>
    <row r="385" ht="14.25" customHeight="1" s="54">
      <c r="A385" s="20" t="inlineStr">
        <is>
          <t>BH-40379</t>
        </is>
      </c>
      <c r="B385" s="21" t="n">
        <v>45717</v>
      </c>
      <c r="C385" s="20" t="inlineStr">
        <is>
          <t>C14</t>
        </is>
      </c>
      <c r="D385" s="20" t="inlineStr">
        <is>
          <t>Oak Hollow Foods</t>
        </is>
      </c>
      <c r="E385" s="20" t="inlineStr">
        <is>
          <t>Grocery</t>
        </is>
      </c>
      <c r="F385" s="20" t="inlineStr">
        <is>
          <t>Snack Bars</t>
        </is>
      </c>
      <c r="G385" s="22" t="n">
        <v>752</v>
      </c>
      <c r="H385" s="23" t="n">
        <v>32.4</v>
      </c>
      <c r="I385" s="23" t="n">
        <v>24364.8</v>
      </c>
      <c r="J385" s="23" t="n">
        <v>14889.6</v>
      </c>
      <c r="K385">
        <f>IF(OR(COUNTIF($A$5:A385,A385)&gt;1,G385&lt;0,C385="",B385&lt;'Work 1'!$C$6,B385&gt;'Work 1'!$C$7,H385&gt;'Work 1'!$C$8*AVERAGEIF($F$5:$F$1014,F385,$H$5:$H$1014)),"Excl",IF(B385&gt;='Work 1'!$C$5,"LTM","Prior"))</f>
        <v/>
      </c>
      <c r="L385">
        <f>I385-J385</f>
        <v/>
      </c>
    </row>
    <row r="386" ht="14.25" customHeight="1" s="54">
      <c r="A386" s="20" t="inlineStr">
        <is>
          <t>BH-40380</t>
        </is>
      </c>
      <c r="B386" s="21" t="n">
        <v>45717</v>
      </c>
      <c r="C386" s="20" t="inlineStr">
        <is>
          <t>C15</t>
        </is>
      </c>
      <c r="D386" s="20" t="inlineStr">
        <is>
          <t>Prairie Fresh</t>
        </is>
      </c>
      <c r="E386" s="20" t="inlineStr">
        <is>
          <t>Grocery</t>
        </is>
      </c>
      <c r="F386" s="20" t="inlineStr">
        <is>
          <t>Granola</t>
        </is>
      </c>
      <c r="G386" s="22" t="n">
        <v>1405</v>
      </c>
      <c r="H386" s="23" t="n">
        <v>41.8</v>
      </c>
      <c r="I386" s="23" t="n">
        <v>58729</v>
      </c>
      <c r="J386" s="23" t="n">
        <v>36670.5</v>
      </c>
      <c r="K386">
        <f>IF(OR(COUNTIF($A$5:A386,A386)&gt;1,G386&lt;0,C386="",B386&lt;'Work 1'!$C$6,B386&gt;'Work 1'!$C$7,H386&gt;'Work 1'!$C$8*AVERAGEIF($F$5:$F$1014,F386,$H$5:$H$1014)),"Excl",IF(B386&gt;='Work 1'!$C$5,"LTM","Prior"))</f>
        <v/>
      </c>
      <c r="L386">
        <f>I386-J386</f>
        <v/>
      </c>
    </row>
    <row r="387" ht="14.25" customHeight="1" s="54">
      <c r="A387" s="20" t="inlineStr">
        <is>
          <t>BH-40381</t>
        </is>
      </c>
      <c r="B387" s="21" t="n">
        <v>45717</v>
      </c>
      <c r="C387" s="20" t="inlineStr">
        <is>
          <t>C15</t>
        </is>
      </c>
      <c r="D387" s="20" t="inlineStr">
        <is>
          <t>Prairie Fresh</t>
        </is>
      </c>
      <c r="E387" s="20" t="inlineStr">
        <is>
          <t>Grocery</t>
        </is>
      </c>
      <c r="F387" s="20" t="inlineStr">
        <is>
          <t>Snack Bars</t>
        </is>
      </c>
      <c r="G387" s="22" t="n">
        <v>1060</v>
      </c>
      <c r="H387" s="23" t="n">
        <v>32.4</v>
      </c>
      <c r="I387" s="23" t="n">
        <v>34344</v>
      </c>
      <c r="J387" s="23" t="n">
        <v>20988</v>
      </c>
      <c r="K387">
        <f>IF(OR(COUNTIF($A$5:A387,A387)&gt;1,G387&lt;0,C387="",B387&lt;'Work 1'!$C$6,B387&gt;'Work 1'!$C$7,H387&gt;'Work 1'!$C$8*AVERAGEIF($F$5:$F$1014,F387,$H$5:$H$1014)),"Excl",IF(B387&gt;='Work 1'!$C$5,"LTM","Prior"))</f>
        <v/>
      </c>
      <c r="L387">
        <f>I387-J387</f>
        <v/>
      </c>
    </row>
    <row r="388" ht="14.25" customHeight="1" s="54">
      <c r="A388" s="20" t="inlineStr">
        <is>
          <t>BH-40382</t>
        </is>
      </c>
      <c r="B388" s="21" t="n">
        <v>45717</v>
      </c>
      <c r="C388" s="20" t="inlineStr">
        <is>
          <t>C16</t>
        </is>
      </c>
      <c r="D388" s="20" t="inlineStr">
        <is>
          <t>Bay Street Market</t>
        </is>
      </c>
      <c r="E388" s="20" t="inlineStr">
        <is>
          <t>Grocery</t>
        </is>
      </c>
      <c r="F388" s="20" t="inlineStr">
        <is>
          <t>Granola</t>
        </is>
      </c>
      <c r="G388" s="22" t="n">
        <v>1007</v>
      </c>
      <c r="H388" s="23" t="n">
        <v>41.8</v>
      </c>
      <c r="I388" s="23" t="n">
        <v>42092.6</v>
      </c>
      <c r="J388" s="23" t="n">
        <v>26282.7</v>
      </c>
      <c r="K388">
        <f>IF(OR(COUNTIF($A$5:A388,A388)&gt;1,G388&lt;0,C388="",B388&lt;'Work 1'!$C$6,B388&gt;'Work 1'!$C$7,H388&gt;'Work 1'!$C$8*AVERAGEIF($F$5:$F$1014,F388,$H$5:$H$1014)),"Excl",IF(B388&gt;='Work 1'!$C$5,"LTM","Prior"))</f>
        <v/>
      </c>
      <c r="L388">
        <f>I388-J388</f>
        <v/>
      </c>
    </row>
    <row r="389" ht="14.25" customHeight="1" s="54">
      <c r="A389" s="20" t="inlineStr">
        <is>
          <t>BH-40383</t>
        </is>
      </c>
      <c r="B389" s="21" t="n">
        <v>45717</v>
      </c>
      <c r="C389" s="20" t="inlineStr">
        <is>
          <t>C16</t>
        </is>
      </c>
      <c r="D389" s="20" t="inlineStr">
        <is>
          <t>Bay Street Market</t>
        </is>
      </c>
      <c r="E389" s="20" t="inlineStr">
        <is>
          <t>Grocery</t>
        </is>
      </c>
      <c r="F389" s="20" t="inlineStr">
        <is>
          <t>Nut Butter</t>
        </is>
      </c>
      <c r="G389" s="22" t="n">
        <v>590</v>
      </c>
      <c r="H389" s="23" t="n">
        <v>55.6</v>
      </c>
      <c r="I389" s="23" t="n">
        <v>32804</v>
      </c>
      <c r="J389" s="23" t="n">
        <v>22656</v>
      </c>
      <c r="K389">
        <f>IF(OR(COUNTIF($A$5:A389,A389)&gt;1,G389&lt;0,C389="",B389&lt;'Work 1'!$C$6,B389&gt;'Work 1'!$C$7,H389&gt;'Work 1'!$C$8*AVERAGEIF($F$5:$F$1014,F389,$H$5:$H$1014)),"Excl",IF(B389&gt;='Work 1'!$C$5,"LTM","Prior"))</f>
        <v/>
      </c>
      <c r="L389">
        <f>I389-J389</f>
        <v/>
      </c>
    </row>
    <row r="390" ht="14.25" customHeight="1" s="54">
      <c r="A390" s="20" t="inlineStr">
        <is>
          <t>BH-40384</t>
        </is>
      </c>
      <c r="B390" s="21" t="n">
        <v>45717</v>
      </c>
      <c r="C390" s="20" t="inlineStr">
        <is>
          <t>C17</t>
        </is>
      </c>
      <c r="D390" s="20" t="inlineStr">
        <is>
          <t>Eastgate Grocers</t>
        </is>
      </c>
      <c r="E390" s="20" t="inlineStr">
        <is>
          <t>Grocery</t>
        </is>
      </c>
      <c r="F390" s="20" t="inlineStr">
        <is>
          <t>Granola</t>
        </is>
      </c>
      <c r="G390" s="22" t="n">
        <v>1442</v>
      </c>
      <c r="H390" s="23" t="n">
        <v>41.8</v>
      </c>
      <c r="I390" s="23" t="n">
        <v>60275.6</v>
      </c>
      <c r="J390" s="23" t="n">
        <v>37636.2</v>
      </c>
      <c r="K390">
        <f>IF(OR(COUNTIF($A$5:A390,A390)&gt;1,G390&lt;0,C390="",B390&lt;'Work 1'!$C$6,B390&gt;'Work 1'!$C$7,H390&gt;'Work 1'!$C$8*AVERAGEIF($F$5:$F$1014,F390,$H$5:$H$1014)),"Excl",IF(B390&gt;='Work 1'!$C$5,"LTM","Prior"))</f>
        <v/>
      </c>
      <c r="L390">
        <f>I390-J390</f>
        <v/>
      </c>
    </row>
    <row r="391" ht="14.25" customHeight="1" s="54">
      <c r="A391" s="20" t="inlineStr">
        <is>
          <t>BH-40385</t>
        </is>
      </c>
      <c r="B391" s="21" t="n">
        <v>45717</v>
      </c>
      <c r="C391" s="20" t="inlineStr">
        <is>
          <t>C17</t>
        </is>
      </c>
      <c r="D391" s="20" t="inlineStr">
        <is>
          <t>Eastgate Grocers</t>
        </is>
      </c>
      <c r="E391" s="20" t="inlineStr">
        <is>
          <t>Grocery</t>
        </is>
      </c>
      <c r="F391" s="20" t="inlineStr">
        <is>
          <t>Snack Bars</t>
        </is>
      </c>
      <c r="G391" s="22" t="n">
        <v>1021</v>
      </c>
      <c r="H391" s="23" t="n">
        <v>32.4</v>
      </c>
      <c r="I391" s="23" t="n">
        <v>33080.4</v>
      </c>
      <c r="J391" s="23" t="n">
        <v>20215.8</v>
      </c>
      <c r="K391">
        <f>IF(OR(COUNTIF($A$5:A391,A391)&gt;1,G391&lt;0,C391="",B391&lt;'Work 1'!$C$6,B391&gt;'Work 1'!$C$7,H391&gt;'Work 1'!$C$8*AVERAGEIF($F$5:$F$1014,F391,$H$5:$H$1014)),"Excl",IF(B391&gt;='Work 1'!$C$5,"LTM","Prior"))</f>
        <v/>
      </c>
      <c r="L391">
        <f>I391-J391</f>
        <v/>
      </c>
    </row>
    <row r="392" ht="14.25" customHeight="1" s="54">
      <c r="A392" s="20" t="inlineStr">
        <is>
          <t>BH-40386</t>
        </is>
      </c>
      <c r="B392" s="21" t="n">
        <v>45717</v>
      </c>
      <c r="C392" s="20" t="inlineStr">
        <is>
          <t>C18</t>
        </is>
      </c>
      <c r="D392" s="20" t="inlineStr">
        <is>
          <t>Hillcrest Food Co.</t>
        </is>
      </c>
      <c r="E392" s="20" t="inlineStr">
        <is>
          <t>Grocery</t>
        </is>
      </c>
      <c r="F392" s="20" t="inlineStr">
        <is>
          <t>Granola</t>
        </is>
      </c>
      <c r="G392" s="22" t="n">
        <v>976</v>
      </c>
      <c r="H392" s="23" t="n">
        <v>41.8</v>
      </c>
      <c r="I392" s="23" t="n">
        <v>40796.8</v>
      </c>
      <c r="J392" s="23" t="n">
        <v>25473.6</v>
      </c>
      <c r="K392">
        <f>IF(OR(COUNTIF($A$5:A392,A392)&gt;1,G392&lt;0,C392="",B392&lt;'Work 1'!$C$6,B392&gt;'Work 1'!$C$7,H392&gt;'Work 1'!$C$8*AVERAGEIF($F$5:$F$1014,F392,$H$5:$H$1014)),"Excl",IF(B392&gt;='Work 1'!$C$5,"LTM","Prior"))</f>
        <v/>
      </c>
      <c r="L392">
        <f>I392-J392</f>
        <v/>
      </c>
    </row>
    <row r="393" ht="14.25" customHeight="1" s="54">
      <c r="A393" s="20" t="inlineStr">
        <is>
          <t>BH-40387</t>
        </is>
      </c>
      <c r="B393" s="21" t="n">
        <v>45717</v>
      </c>
      <c r="C393" s="20" t="inlineStr">
        <is>
          <t>C18</t>
        </is>
      </c>
      <c r="D393" s="20" t="inlineStr">
        <is>
          <t>Hillcrest Food Co.</t>
        </is>
      </c>
      <c r="E393" s="20" t="inlineStr">
        <is>
          <t>Grocery</t>
        </is>
      </c>
      <c r="F393" s="20" t="inlineStr">
        <is>
          <t>Nut Butter</t>
        </is>
      </c>
      <c r="G393" s="22" t="n">
        <v>433</v>
      </c>
      <c r="H393" s="23" t="n">
        <v>55.6</v>
      </c>
      <c r="I393" s="23" t="n">
        <v>24074.8</v>
      </c>
      <c r="J393" s="23" t="n">
        <v>16627.2</v>
      </c>
      <c r="K393">
        <f>IF(OR(COUNTIF($A$5:A393,A393)&gt;1,G393&lt;0,C393="",B393&lt;'Work 1'!$C$6,B393&gt;'Work 1'!$C$7,H393&gt;'Work 1'!$C$8*AVERAGEIF($F$5:$F$1014,F393,$H$5:$H$1014)),"Excl",IF(B393&gt;='Work 1'!$C$5,"LTM","Prior"))</f>
        <v/>
      </c>
      <c r="L393">
        <f>I393-J393</f>
        <v/>
      </c>
    </row>
    <row r="394" ht="14.25" customHeight="1" s="54">
      <c r="A394" s="20" t="inlineStr">
        <is>
          <t>BH-40388</t>
        </is>
      </c>
      <c r="B394" s="21" t="n">
        <v>45748</v>
      </c>
      <c r="C394" s="20" t="inlineStr">
        <is>
          <t>C01</t>
        </is>
      </c>
      <c r="D394" s="20" t="inlineStr">
        <is>
          <t>Northfield Markets</t>
        </is>
      </c>
      <c r="E394" s="20" t="inlineStr">
        <is>
          <t>Grocery</t>
        </is>
      </c>
      <c r="F394" s="20" t="inlineStr">
        <is>
          <t>Granola</t>
        </is>
      </c>
      <c r="G394" s="22" t="n">
        <v>13744</v>
      </c>
      <c r="H394" s="23" t="n">
        <v>39.29</v>
      </c>
      <c r="I394" s="23" t="n">
        <v>540001.76</v>
      </c>
      <c r="J394" s="23" t="n">
        <v>358718.4</v>
      </c>
      <c r="K394">
        <f>IF(OR(COUNTIF($A$5:A394,A394)&gt;1,G394&lt;0,C394="",B394&lt;'Work 1'!$C$6,B394&gt;'Work 1'!$C$7,H394&gt;'Work 1'!$C$8*AVERAGEIF($F$5:$F$1014,F394,$H$5:$H$1014)),"Excl",IF(B394&gt;='Work 1'!$C$5,"LTM","Prior"))</f>
        <v/>
      </c>
      <c r="L394">
        <f>I394-J394</f>
        <v/>
      </c>
    </row>
    <row r="395" ht="14.25" customHeight="1" s="54">
      <c r="A395" s="20" t="inlineStr">
        <is>
          <t>BH-40389</t>
        </is>
      </c>
      <c r="B395" s="21" t="n">
        <v>45748</v>
      </c>
      <c r="C395" s="20" t="inlineStr">
        <is>
          <t>C01</t>
        </is>
      </c>
      <c r="D395" s="20" t="inlineStr">
        <is>
          <t>Northfield Markets</t>
        </is>
      </c>
      <c r="E395" s="20" t="inlineStr">
        <is>
          <t>Grocery</t>
        </is>
      </c>
      <c r="F395" s="20" t="inlineStr">
        <is>
          <t>Nut Butter</t>
        </is>
      </c>
      <c r="G395" s="22" t="n">
        <v>7195</v>
      </c>
      <c r="H395" s="23" t="n">
        <v>52.26</v>
      </c>
      <c r="I395" s="23" t="n">
        <v>376010.7</v>
      </c>
      <c r="J395" s="23" t="n">
        <v>276288</v>
      </c>
      <c r="K395">
        <f>IF(OR(COUNTIF($A$5:A395,A395)&gt;1,G395&lt;0,C395="",B395&lt;'Work 1'!$C$6,B395&gt;'Work 1'!$C$7,H395&gt;'Work 1'!$C$8*AVERAGEIF($F$5:$F$1014,F395,$H$5:$H$1014)),"Excl",IF(B395&gt;='Work 1'!$C$5,"LTM","Prior"))</f>
        <v/>
      </c>
      <c r="L395">
        <f>I395-J395</f>
        <v/>
      </c>
    </row>
    <row r="396" ht="14.25" customHeight="1" s="54">
      <c r="A396" s="20" t="inlineStr">
        <is>
          <t>BH-40390</t>
        </is>
      </c>
      <c r="B396" s="21" t="n">
        <v>45748</v>
      </c>
      <c r="C396" s="20" t="inlineStr">
        <is>
          <t>C01</t>
        </is>
      </c>
      <c r="D396" s="20" t="inlineStr">
        <is>
          <t>Northfield Markets</t>
        </is>
      </c>
      <c r="E396" s="20" t="inlineStr">
        <is>
          <t>Grocery</t>
        </is>
      </c>
      <c r="F396" s="20" t="inlineStr">
        <is>
          <t>Snack Bars</t>
        </is>
      </c>
      <c r="G396" s="22" t="n">
        <v>10409</v>
      </c>
      <c r="H396" s="23" t="n">
        <v>30.46</v>
      </c>
      <c r="I396" s="23" t="n">
        <v>317058.14</v>
      </c>
      <c r="J396" s="23" t="n">
        <v>206098.2</v>
      </c>
      <c r="K396">
        <f>IF(OR(COUNTIF($A$5:A396,A396)&gt;1,G396&lt;0,C396="",B396&lt;'Work 1'!$C$6,B396&gt;'Work 1'!$C$7,H396&gt;'Work 1'!$C$8*AVERAGEIF($F$5:$F$1014,F396,$H$5:$H$1014)),"Excl",IF(B396&gt;='Work 1'!$C$5,"LTM","Prior"))</f>
        <v/>
      </c>
      <c r="L396">
        <f>I396-J396</f>
        <v/>
      </c>
    </row>
    <row r="397" ht="14.25" customHeight="1" s="54">
      <c r="A397" s="20" t="inlineStr">
        <is>
          <t>BH-40391</t>
        </is>
      </c>
      <c r="B397" s="21" t="n">
        <v>45748</v>
      </c>
      <c r="C397" s="20" t="inlineStr">
        <is>
          <t>C02</t>
        </is>
      </c>
      <c r="D397" s="20" t="inlineStr">
        <is>
          <t>Crestline Grocers</t>
        </is>
      </c>
      <c r="E397" s="20" t="inlineStr">
        <is>
          <t>Grocery</t>
        </is>
      </c>
      <c r="F397" s="20" t="inlineStr">
        <is>
          <t>Granola</t>
        </is>
      </c>
      <c r="G397" s="22" t="n">
        <v>3853</v>
      </c>
      <c r="H397" s="23" t="n">
        <v>40.55</v>
      </c>
      <c r="I397" s="23" t="n">
        <v>156239.15</v>
      </c>
      <c r="J397" s="23" t="n">
        <v>100563.3</v>
      </c>
      <c r="K397">
        <f>IF(OR(COUNTIF($A$5:A397,A397)&gt;1,G397&lt;0,C397="",B397&lt;'Work 1'!$C$6,B397&gt;'Work 1'!$C$7,H397&gt;'Work 1'!$C$8*AVERAGEIF($F$5:$F$1014,F397,$H$5:$H$1014)),"Excl",IF(B397&gt;='Work 1'!$C$5,"LTM","Prior"))</f>
        <v/>
      </c>
      <c r="L397">
        <f>I397-J397</f>
        <v/>
      </c>
    </row>
    <row r="398" ht="14.25" customHeight="1" s="54">
      <c r="A398" s="20" t="inlineStr">
        <is>
          <t>BH-40392</t>
        </is>
      </c>
      <c r="B398" s="21" t="n">
        <v>45748</v>
      </c>
      <c r="C398" s="20" t="inlineStr">
        <is>
          <t>C02</t>
        </is>
      </c>
      <c r="D398" s="20" t="inlineStr">
        <is>
          <t>Crestline Grocers</t>
        </is>
      </c>
      <c r="E398" s="20" t="inlineStr">
        <is>
          <t>Grocery</t>
        </is>
      </c>
      <c r="F398" s="20" t="inlineStr">
        <is>
          <t>Nut Butter</t>
        </is>
      </c>
      <c r="G398" s="22" t="n">
        <v>1962</v>
      </c>
      <c r="H398" s="23" t="n">
        <v>53.93</v>
      </c>
      <c r="I398" s="23" t="n">
        <v>105810.66</v>
      </c>
      <c r="J398" s="23" t="n">
        <v>75340.8</v>
      </c>
      <c r="K398">
        <f>IF(OR(COUNTIF($A$5:A398,A398)&gt;1,G398&lt;0,C398="",B398&lt;'Work 1'!$C$6,B398&gt;'Work 1'!$C$7,H398&gt;'Work 1'!$C$8*AVERAGEIF($F$5:$F$1014,F398,$H$5:$H$1014)),"Excl",IF(B398&gt;='Work 1'!$C$5,"LTM","Prior"))</f>
        <v/>
      </c>
      <c r="L398">
        <f>I398-J398</f>
        <v/>
      </c>
    </row>
    <row r="399" ht="14.25" customHeight="1" s="54">
      <c r="A399" s="20" t="inlineStr">
        <is>
          <t>BH-40393</t>
        </is>
      </c>
      <c r="B399" s="21" t="n">
        <v>45748</v>
      </c>
      <c r="C399" s="20" t="inlineStr">
        <is>
          <t>C02</t>
        </is>
      </c>
      <c r="D399" s="20" t="inlineStr">
        <is>
          <t>Crestline Grocers</t>
        </is>
      </c>
      <c r="E399" s="20" t="inlineStr">
        <is>
          <t>Grocery</t>
        </is>
      </c>
      <c r="F399" s="20" t="inlineStr">
        <is>
          <t>Snack Bars</t>
        </is>
      </c>
      <c r="G399" s="22" t="n">
        <v>3434</v>
      </c>
      <c r="H399" s="23" t="n">
        <v>31.43</v>
      </c>
      <c r="I399" s="23" t="n">
        <v>107930.62</v>
      </c>
      <c r="J399" s="23" t="n">
        <v>67993.2</v>
      </c>
      <c r="K399">
        <f>IF(OR(COUNTIF($A$5:A399,A399)&gt;1,G399&lt;0,C399="",B399&lt;'Work 1'!$C$6,B399&gt;'Work 1'!$C$7,H399&gt;'Work 1'!$C$8*AVERAGEIF($F$5:$F$1014,F399,$H$5:$H$1014)),"Excl",IF(B399&gt;='Work 1'!$C$5,"LTM","Prior"))</f>
        <v/>
      </c>
      <c r="L399">
        <f>I399-J399</f>
        <v/>
      </c>
    </row>
    <row r="400" ht="14.25" customHeight="1" s="54">
      <c r="A400" s="20" t="inlineStr">
        <is>
          <t>BH-40394</t>
        </is>
      </c>
      <c r="B400" s="21" t="n">
        <v>45748</v>
      </c>
      <c r="C400" s="20" t="inlineStr">
        <is>
          <t>C03</t>
        </is>
      </c>
      <c r="D400" s="20" t="inlineStr">
        <is>
          <t>ValuClub Warehouse</t>
        </is>
      </c>
      <c r="E400" s="20" t="inlineStr">
        <is>
          <t>Club</t>
        </is>
      </c>
      <c r="F400" s="20" t="inlineStr">
        <is>
          <t>Granola</t>
        </is>
      </c>
      <c r="G400" s="22" t="n">
        <v>12373</v>
      </c>
      <c r="H400" s="23" t="n">
        <v>35.9</v>
      </c>
      <c r="I400" s="23" t="n">
        <v>444190.7</v>
      </c>
      <c r="J400" s="23" t="n">
        <v>322935.3</v>
      </c>
      <c r="K400">
        <f>IF(OR(COUNTIF($A$5:A400,A400)&gt;1,G400&lt;0,C400="",B400&lt;'Work 1'!$C$6,B400&gt;'Work 1'!$C$7,H400&gt;'Work 1'!$C$8*AVERAGEIF($F$5:$F$1014,F400,$H$5:$H$1014)),"Excl",IF(B400&gt;='Work 1'!$C$5,"LTM","Prior"))</f>
        <v/>
      </c>
      <c r="L400">
        <f>I400-J400</f>
        <v/>
      </c>
    </row>
    <row r="401" ht="14.25" customHeight="1" s="54">
      <c r="A401" s="20" t="inlineStr">
        <is>
          <t>BH-40395</t>
        </is>
      </c>
      <c r="B401" s="21" t="n">
        <v>45748</v>
      </c>
      <c r="C401" s="20" t="inlineStr">
        <is>
          <t>C03</t>
        </is>
      </c>
      <c r="D401" s="20" t="inlineStr">
        <is>
          <t>ValuClub Warehouse</t>
        </is>
      </c>
      <c r="E401" s="20" t="inlineStr">
        <is>
          <t>Club</t>
        </is>
      </c>
      <c r="F401" s="20" t="inlineStr">
        <is>
          <t>Snack Bars</t>
        </is>
      </c>
      <c r="G401" s="22" t="n">
        <v>13005</v>
      </c>
      <c r="H401" s="23" t="n">
        <v>27.4</v>
      </c>
      <c r="I401" s="23" t="n">
        <v>356337</v>
      </c>
      <c r="J401" s="23" t="n">
        <v>257499</v>
      </c>
      <c r="K401">
        <f>IF(OR(COUNTIF($A$5:A401,A401)&gt;1,G401&lt;0,C401="",B401&lt;'Work 1'!$C$6,B401&gt;'Work 1'!$C$7,H401&gt;'Work 1'!$C$8*AVERAGEIF($F$5:$F$1014,F401,$H$5:$H$1014)),"Excl",IF(B401&gt;='Work 1'!$C$5,"LTM","Prior"))</f>
        <v/>
      </c>
      <c r="L401">
        <f>I401-J401</f>
        <v/>
      </c>
    </row>
    <row r="402" ht="14.25" customHeight="1" s="54">
      <c r="A402" s="20" t="inlineStr">
        <is>
          <t>BH-40396</t>
        </is>
      </c>
      <c r="B402" s="21" t="n">
        <v>45748</v>
      </c>
      <c r="C402" s="20" t="inlineStr">
        <is>
          <t>C04</t>
        </is>
      </c>
      <c r="D402" s="20" t="inlineStr">
        <is>
          <t>Harvest Lane Co-op</t>
        </is>
      </c>
      <c r="E402" s="20" t="inlineStr">
        <is>
          <t>Grocery</t>
        </is>
      </c>
      <c r="F402" s="20" t="inlineStr">
        <is>
          <t>Granola</t>
        </is>
      </c>
      <c r="G402" s="22" t="n">
        <v>2699</v>
      </c>
      <c r="H402" s="23" t="n">
        <v>41.8</v>
      </c>
      <c r="I402" s="23" t="n">
        <v>112818.2</v>
      </c>
      <c r="J402" s="23" t="n">
        <v>70443.89999999999</v>
      </c>
      <c r="K402">
        <f>IF(OR(COUNTIF($A$5:A402,A402)&gt;1,G402&lt;0,C402="",B402&lt;'Work 1'!$C$6,B402&gt;'Work 1'!$C$7,H402&gt;'Work 1'!$C$8*AVERAGEIF($F$5:$F$1014,F402,$H$5:$H$1014)),"Excl",IF(B402&gt;='Work 1'!$C$5,"LTM","Prior"))</f>
        <v/>
      </c>
      <c r="L402">
        <f>I402-J402</f>
        <v/>
      </c>
    </row>
    <row r="403" ht="14.25" customHeight="1" s="54">
      <c r="A403" s="20" t="inlineStr">
        <is>
          <t>BH-40397</t>
        </is>
      </c>
      <c r="B403" s="21" t="n">
        <v>45748</v>
      </c>
      <c r="C403" s="20" t="inlineStr">
        <is>
          <t>C04</t>
        </is>
      </c>
      <c r="D403" s="20" t="inlineStr">
        <is>
          <t>Harvest Lane Co-op</t>
        </is>
      </c>
      <c r="E403" s="20" t="inlineStr">
        <is>
          <t>Grocery</t>
        </is>
      </c>
      <c r="F403" s="20" t="inlineStr">
        <is>
          <t>Nut Butter</t>
        </is>
      </c>
      <c r="G403" s="22" t="n">
        <v>1482</v>
      </c>
      <c r="H403" s="23" t="n">
        <v>55.6</v>
      </c>
      <c r="I403" s="23" t="n">
        <v>82399.2</v>
      </c>
      <c r="J403" s="23" t="n">
        <v>56908.8</v>
      </c>
      <c r="K403">
        <f>IF(OR(COUNTIF($A$5:A403,A403)&gt;1,G403&lt;0,C403="",B403&lt;'Work 1'!$C$6,B403&gt;'Work 1'!$C$7,H403&gt;'Work 1'!$C$8*AVERAGEIF($F$5:$F$1014,F403,$H$5:$H$1014)),"Excl",IF(B403&gt;='Work 1'!$C$5,"LTM","Prior"))</f>
        <v/>
      </c>
      <c r="L403">
        <f>I403-J403</f>
        <v/>
      </c>
    </row>
    <row r="404" ht="14.25" customHeight="1" s="54">
      <c r="A404" s="20" t="inlineStr">
        <is>
          <t>BH-40398</t>
        </is>
      </c>
      <c r="B404" s="21" t="n">
        <v>45748</v>
      </c>
      <c r="C404" s="20" t="inlineStr">
        <is>
          <t>C04</t>
        </is>
      </c>
      <c r="D404" s="20" t="inlineStr">
        <is>
          <t>Harvest Lane Co-op</t>
        </is>
      </c>
      <c r="E404" s="20" t="inlineStr">
        <is>
          <t>Grocery</t>
        </is>
      </c>
      <c r="F404" s="20" t="inlineStr">
        <is>
          <t>Snack Bars</t>
        </is>
      </c>
      <c r="G404" s="22" t="n">
        <v>1818</v>
      </c>
      <c r="H404" s="23" t="n">
        <v>32.4</v>
      </c>
      <c r="I404" s="23" t="n">
        <v>58903.2</v>
      </c>
      <c r="J404" s="23" t="n">
        <v>35996.4</v>
      </c>
      <c r="K404">
        <f>IF(OR(COUNTIF($A$5:A404,A404)&gt;1,G404&lt;0,C404="",B404&lt;'Work 1'!$C$6,B404&gt;'Work 1'!$C$7,H404&gt;'Work 1'!$C$8*AVERAGEIF($F$5:$F$1014,F404,$H$5:$H$1014)),"Excl",IF(B404&gt;='Work 1'!$C$5,"LTM","Prior"))</f>
        <v/>
      </c>
      <c r="L404">
        <f>I404-J404</f>
        <v/>
      </c>
    </row>
    <row r="405" ht="14.25" customHeight="1" s="54">
      <c r="A405" s="20" t="inlineStr">
        <is>
          <t>BH-40399</t>
        </is>
      </c>
      <c r="B405" s="21" t="n">
        <v>45748</v>
      </c>
      <c r="C405" s="20" t="inlineStr">
        <is>
          <t>C05</t>
        </is>
      </c>
      <c r="D405" s="20" t="inlineStr">
        <is>
          <t>Pioneer Foods Distribution</t>
        </is>
      </c>
      <c r="E405" s="20" t="inlineStr">
        <is>
          <t>Grocery</t>
        </is>
      </c>
      <c r="F405" s="20" t="inlineStr">
        <is>
          <t>Granola</t>
        </is>
      </c>
      <c r="G405" s="22" t="n">
        <v>3354</v>
      </c>
      <c r="H405" s="23" t="n">
        <v>37.62</v>
      </c>
      <c r="I405" s="23" t="n">
        <v>126177.48</v>
      </c>
      <c r="J405" s="23" t="n">
        <v>87539.39999999999</v>
      </c>
      <c r="K405">
        <f>IF(OR(COUNTIF($A$5:A405,A405)&gt;1,G405&lt;0,C405="",B405&lt;'Work 1'!$C$6,B405&gt;'Work 1'!$C$7,H405&gt;'Work 1'!$C$8*AVERAGEIF($F$5:$F$1014,F405,$H$5:$H$1014)),"Excl",IF(B405&gt;='Work 1'!$C$5,"LTM","Prior"))</f>
        <v/>
      </c>
      <c r="L405">
        <f>I405-J405</f>
        <v/>
      </c>
    </row>
    <row r="406" ht="14.25" customHeight="1" s="54">
      <c r="A406" s="20" t="inlineStr">
        <is>
          <t>BH-40400</t>
        </is>
      </c>
      <c r="B406" s="21" t="n">
        <v>45748</v>
      </c>
      <c r="C406" s="20" t="inlineStr">
        <is>
          <t>C05</t>
        </is>
      </c>
      <c r="D406" s="20" t="inlineStr">
        <is>
          <t>Pioneer Foods Distribution</t>
        </is>
      </c>
      <c r="E406" s="20" t="inlineStr">
        <is>
          <t>Grocery</t>
        </is>
      </c>
      <c r="F406" s="20" t="inlineStr">
        <is>
          <t>Nut Butter</t>
        </is>
      </c>
      <c r="G406" s="22" t="n">
        <v>1966</v>
      </c>
      <c r="H406" s="23" t="n">
        <v>50.04</v>
      </c>
      <c r="I406" s="23" t="n">
        <v>98378.64</v>
      </c>
      <c r="J406" s="23" t="n">
        <v>75494.39999999999</v>
      </c>
      <c r="K406">
        <f>IF(OR(COUNTIF($A$5:A406,A406)&gt;1,G406&lt;0,C406="",B406&lt;'Work 1'!$C$6,B406&gt;'Work 1'!$C$7,H406&gt;'Work 1'!$C$8*AVERAGEIF($F$5:$F$1014,F406,$H$5:$H$1014)),"Excl",IF(B406&gt;='Work 1'!$C$5,"LTM","Prior"))</f>
        <v/>
      </c>
      <c r="L406">
        <f>I406-J406</f>
        <v/>
      </c>
    </row>
    <row r="407" ht="14.25" customHeight="1" s="54">
      <c r="A407" s="20" t="inlineStr">
        <is>
          <t>BH-40401</t>
        </is>
      </c>
      <c r="B407" s="21" t="n">
        <v>45748</v>
      </c>
      <c r="C407" s="20" t="inlineStr">
        <is>
          <t>C05</t>
        </is>
      </c>
      <c r="D407" s="20" t="inlineStr">
        <is>
          <t>Pioneer Foods Distribution</t>
        </is>
      </c>
      <c r="E407" s="20" t="inlineStr">
        <is>
          <t>Grocery</t>
        </is>
      </c>
      <c r="F407" s="20" t="inlineStr">
        <is>
          <t>Snack Bars</t>
        </is>
      </c>
      <c r="G407" s="22" t="n">
        <v>3119</v>
      </c>
      <c r="H407" s="23" t="n">
        <v>29.16</v>
      </c>
      <c r="I407" s="23" t="n">
        <v>90950.03999999999</v>
      </c>
      <c r="J407" s="23" t="n">
        <v>61756.2</v>
      </c>
      <c r="K407">
        <f>IF(OR(COUNTIF($A$5:A407,A407)&gt;1,G407&lt;0,C407="",B407&lt;'Work 1'!$C$6,B407&gt;'Work 1'!$C$7,H407&gt;'Work 1'!$C$8*AVERAGEIF($F$5:$F$1014,F407,$H$5:$H$1014)),"Excl",IF(B407&gt;='Work 1'!$C$5,"LTM","Prior"))</f>
        <v/>
      </c>
      <c r="L407">
        <f>I407-J407</f>
        <v/>
      </c>
    </row>
    <row r="408" ht="14.25" customHeight="1" s="54">
      <c r="A408" s="20" t="inlineStr">
        <is>
          <t>BH-40402</t>
        </is>
      </c>
      <c r="B408" s="21" t="n">
        <v>45748</v>
      </c>
      <c r="C408" s="20" t="inlineStr">
        <is>
          <t>C06</t>
        </is>
      </c>
      <c r="D408" s="20" t="inlineStr">
        <is>
          <t>Summit Club Stores</t>
        </is>
      </c>
      <c r="E408" s="20" t="inlineStr">
        <is>
          <t>Club</t>
        </is>
      </c>
      <c r="F408" s="20" t="inlineStr">
        <is>
          <t>Granola</t>
        </is>
      </c>
      <c r="G408" s="22" t="n">
        <v>4849</v>
      </c>
      <c r="H408" s="23" t="n">
        <v>35.9</v>
      </c>
      <c r="I408" s="23" t="n">
        <v>174079.1</v>
      </c>
      <c r="J408" s="23" t="n">
        <v>126558.9</v>
      </c>
      <c r="K408">
        <f>IF(OR(COUNTIF($A$5:A408,A408)&gt;1,G408&lt;0,C408="",B408&lt;'Work 1'!$C$6,B408&gt;'Work 1'!$C$7,H408&gt;'Work 1'!$C$8*AVERAGEIF($F$5:$F$1014,F408,$H$5:$H$1014)),"Excl",IF(B408&gt;='Work 1'!$C$5,"LTM","Prior"))</f>
        <v/>
      </c>
      <c r="L408">
        <f>I408-J408</f>
        <v/>
      </c>
    </row>
    <row r="409" ht="14.25" customHeight="1" s="54">
      <c r="A409" s="20" t="inlineStr">
        <is>
          <t>BH-40403</t>
        </is>
      </c>
      <c r="B409" s="21" t="n">
        <v>45748</v>
      </c>
      <c r="C409" s="20" t="inlineStr">
        <is>
          <t>C06</t>
        </is>
      </c>
      <c r="D409" s="20" t="inlineStr">
        <is>
          <t>Summit Club Stores</t>
        </is>
      </c>
      <c r="E409" s="20" t="inlineStr">
        <is>
          <t>Club</t>
        </is>
      </c>
      <c r="F409" s="20" t="inlineStr">
        <is>
          <t>Nut Butter</t>
        </is>
      </c>
      <c r="G409" s="22" t="n">
        <v>2584</v>
      </c>
      <c r="H409" s="23" t="n">
        <v>47.8</v>
      </c>
      <c r="I409" s="23" t="n">
        <v>123515.2</v>
      </c>
      <c r="J409" s="23" t="n">
        <v>99225.60000000001</v>
      </c>
      <c r="K409">
        <f>IF(OR(COUNTIF($A$5:A409,A409)&gt;1,G409&lt;0,C409="",B409&lt;'Work 1'!$C$6,B409&gt;'Work 1'!$C$7,H409&gt;'Work 1'!$C$8*AVERAGEIF($F$5:$F$1014,F409,$H$5:$H$1014)),"Excl",IF(B409&gt;='Work 1'!$C$5,"LTM","Prior"))</f>
        <v/>
      </c>
      <c r="L409">
        <f>I409-J409</f>
        <v/>
      </c>
    </row>
    <row r="410" ht="14.25" customHeight="1" s="54">
      <c r="A410" s="20" t="inlineStr">
        <is>
          <t>BH-40404</t>
        </is>
      </c>
      <c r="B410" s="21" t="n">
        <v>45748</v>
      </c>
      <c r="C410" s="20" t="inlineStr">
        <is>
          <t>C07</t>
        </is>
      </c>
      <c r="D410" s="20" t="inlineStr">
        <is>
          <t>Bramble Hill Online Store</t>
        </is>
      </c>
      <c r="E410" s="20" t="inlineStr">
        <is>
          <t>Online</t>
        </is>
      </c>
      <c r="F410" s="20" t="inlineStr">
        <is>
          <t>Granola</t>
        </is>
      </c>
      <c r="G410" s="22" t="n">
        <v>3328</v>
      </c>
      <c r="H410" s="23" t="n">
        <v>47.5</v>
      </c>
      <c r="I410" s="23" t="n">
        <v>158080</v>
      </c>
      <c r="J410" s="23" t="n">
        <v>86860.8</v>
      </c>
      <c r="K410">
        <f>IF(OR(COUNTIF($A$5:A410,A410)&gt;1,G410&lt;0,C410="",B410&lt;'Work 1'!$C$6,B410&gt;'Work 1'!$C$7,H410&gt;'Work 1'!$C$8*AVERAGEIF($F$5:$F$1014,F410,$H$5:$H$1014)),"Excl",IF(B410&gt;='Work 1'!$C$5,"LTM","Prior"))</f>
        <v/>
      </c>
      <c r="L410">
        <f>I410-J410</f>
        <v/>
      </c>
    </row>
    <row r="411" ht="14.25" customHeight="1" s="54">
      <c r="A411" s="20" t="inlineStr">
        <is>
          <t>BH-40405</t>
        </is>
      </c>
      <c r="B411" s="21" t="n">
        <v>45748</v>
      </c>
      <c r="C411" s="20" t="inlineStr">
        <is>
          <t>C07</t>
        </is>
      </c>
      <c r="D411" s="20" t="inlineStr">
        <is>
          <t>Bramble Hill Online Store</t>
        </is>
      </c>
      <c r="E411" s="20" t="inlineStr">
        <is>
          <t>Online</t>
        </is>
      </c>
      <c r="F411" s="20" t="inlineStr">
        <is>
          <t>Nut Butter</t>
        </is>
      </c>
      <c r="G411" s="22" t="n">
        <v>1837</v>
      </c>
      <c r="H411" s="23" t="n">
        <v>61.9</v>
      </c>
      <c r="I411" s="23" t="n">
        <v>113710.3</v>
      </c>
      <c r="J411" s="23" t="n">
        <v>70540.8</v>
      </c>
      <c r="K411">
        <f>IF(OR(COUNTIF($A$5:A411,A411)&gt;1,G411&lt;0,C411="",B411&lt;'Work 1'!$C$6,B411&gt;'Work 1'!$C$7,H411&gt;'Work 1'!$C$8*AVERAGEIF($F$5:$F$1014,F411,$H$5:$H$1014)),"Excl",IF(B411&gt;='Work 1'!$C$5,"LTM","Prior"))</f>
        <v/>
      </c>
      <c r="L411">
        <f>I411-J411</f>
        <v/>
      </c>
    </row>
    <row r="412" ht="14.25" customHeight="1" s="54">
      <c r="A412" s="20" t="inlineStr">
        <is>
          <t>BH-40406</t>
        </is>
      </c>
      <c r="B412" s="21" t="n">
        <v>45748</v>
      </c>
      <c r="C412" s="20" t="inlineStr">
        <is>
          <t>C07</t>
        </is>
      </c>
      <c r="D412" s="20" t="inlineStr">
        <is>
          <t>Bramble Hill Online Store</t>
        </is>
      </c>
      <c r="E412" s="20" t="inlineStr">
        <is>
          <t>Online</t>
        </is>
      </c>
      <c r="F412" s="20" t="inlineStr">
        <is>
          <t>Snack Bars</t>
        </is>
      </c>
      <c r="G412" s="22" t="n">
        <v>2429</v>
      </c>
      <c r="H412" s="23" t="n">
        <v>37.8</v>
      </c>
      <c r="I412" s="23" t="n">
        <v>91816.2</v>
      </c>
      <c r="J412" s="23" t="n">
        <v>48094.2</v>
      </c>
      <c r="K412">
        <f>IF(OR(COUNTIF($A$5:A412,A412)&gt;1,G412&lt;0,C412="",B412&lt;'Work 1'!$C$6,B412&gt;'Work 1'!$C$7,H412&gt;'Work 1'!$C$8*AVERAGEIF($F$5:$F$1014,F412,$H$5:$H$1014)),"Excl",IF(B412&gt;='Work 1'!$C$5,"LTM","Prior"))</f>
        <v/>
      </c>
      <c r="L412">
        <f>I412-J412</f>
        <v/>
      </c>
    </row>
    <row r="413" ht="14.25" customHeight="1" s="54">
      <c r="A413" s="20" t="inlineStr">
        <is>
          <t>BH-40407</t>
        </is>
      </c>
      <c r="B413" s="21" t="n">
        <v>45748</v>
      </c>
      <c r="C413" s="20" t="inlineStr">
        <is>
          <t>C08</t>
        </is>
      </c>
      <c r="D413" s="20" t="inlineStr">
        <is>
          <t>Online Marketplace</t>
        </is>
      </c>
      <c r="E413" s="20" t="inlineStr">
        <is>
          <t>Online</t>
        </is>
      </c>
      <c r="F413" s="20" t="inlineStr">
        <is>
          <t>Granola</t>
        </is>
      </c>
      <c r="G413" s="22" t="n">
        <v>3279</v>
      </c>
      <c r="H413" s="23" t="n">
        <v>41.8</v>
      </c>
      <c r="I413" s="23" t="n">
        <v>137062.2</v>
      </c>
      <c r="J413" s="23" t="n">
        <v>85581.89999999999</v>
      </c>
      <c r="K413">
        <f>IF(OR(COUNTIF($A$5:A413,A413)&gt;1,G413&lt;0,C413="",B413&lt;'Work 1'!$C$6,B413&gt;'Work 1'!$C$7,H413&gt;'Work 1'!$C$8*AVERAGEIF($F$5:$F$1014,F413,$H$5:$H$1014)),"Excl",IF(B413&gt;='Work 1'!$C$5,"LTM","Prior"))</f>
        <v/>
      </c>
      <c r="L413">
        <f>I413-J413</f>
        <v/>
      </c>
    </row>
    <row r="414" ht="14.25" customHeight="1" s="54">
      <c r="A414" s="20" t="inlineStr">
        <is>
          <t>BH-40408</t>
        </is>
      </c>
      <c r="B414" s="21" t="n">
        <v>45748</v>
      </c>
      <c r="C414" s="20" t="inlineStr">
        <is>
          <t>C08</t>
        </is>
      </c>
      <c r="D414" s="20" t="inlineStr">
        <is>
          <t>Online Marketplace</t>
        </is>
      </c>
      <c r="E414" s="20" t="inlineStr">
        <is>
          <t>Online</t>
        </is>
      </c>
      <c r="F414" s="20" t="inlineStr">
        <is>
          <t>Nut Butter</t>
        </is>
      </c>
      <c r="G414" s="22" t="n">
        <v>1808</v>
      </c>
      <c r="H414" s="23" t="n">
        <v>54.47</v>
      </c>
      <c r="I414" s="23" t="n">
        <v>98481.75999999999</v>
      </c>
      <c r="J414" s="23" t="n">
        <v>69427.2</v>
      </c>
      <c r="K414">
        <f>IF(OR(COUNTIF($A$5:A414,A414)&gt;1,G414&lt;0,C414="",B414&lt;'Work 1'!$C$6,B414&gt;'Work 1'!$C$7,H414&gt;'Work 1'!$C$8*AVERAGEIF($F$5:$F$1014,F414,$H$5:$H$1014)),"Excl",IF(B414&gt;='Work 1'!$C$5,"LTM","Prior"))</f>
        <v/>
      </c>
      <c r="L414">
        <f>I414-J414</f>
        <v/>
      </c>
    </row>
    <row r="415" ht="14.25" customHeight="1" s="54">
      <c r="A415" s="20" t="inlineStr">
        <is>
          <t>BH-40409</t>
        </is>
      </c>
      <c r="B415" s="21" t="n">
        <v>45748</v>
      </c>
      <c r="C415" s="20" t="inlineStr">
        <is>
          <t>C08</t>
        </is>
      </c>
      <c r="D415" s="20" t="inlineStr">
        <is>
          <t>Online Marketplace</t>
        </is>
      </c>
      <c r="E415" s="20" t="inlineStr">
        <is>
          <t>Online</t>
        </is>
      </c>
      <c r="F415" s="20" t="inlineStr">
        <is>
          <t>Snack Bars</t>
        </is>
      </c>
      <c r="G415" s="22" t="n">
        <v>2941</v>
      </c>
      <c r="H415" s="23" t="n">
        <v>33.26</v>
      </c>
      <c r="I415" s="23" t="n">
        <v>97817.66</v>
      </c>
      <c r="J415" s="23" t="n">
        <v>58231.8</v>
      </c>
      <c r="K415">
        <f>IF(OR(COUNTIF($A$5:A415,A415)&gt;1,G415&lt;0,C415="",B415&lt;'Work 1'!$C$6,B415&gt;'Work 1'!$C$7,H415&gt;'Work 1'!$C$8*AVERAGEIF($F$5:$F$1014,F415,$H$5:$H$1014)),"Excl",IF(B415&gt;='Work 1'!$C$5,"LTM","Prior"))</f>
        <v/>
      </c>
      <c r="L415">
        <f>I415-J415</f>
        <v/>
      </c>
    </row>
    <row r="416" ht="14.25" customHeight="1" s="54">
      <c r="A416" s="20" t="inlineStr">
        <is>
          <t>BH-40410</t>
        </is>
      </c>
      <c r="B416" s="21" t="n">
        <v>45748</v>
      </c>
      <c r="C416" s="20" t="inlineStr">
        <is>
          <t>C09</t>
        </is>
      </c>
      <c r="D416" s="20" t="inlineStr">
        <is>
          <t>Maple Ridge Grocers</t>
        </is>
      </c>
      <c r="E416" s="20" t="inlineStr">
        <is>
          <t>Grocery</t>
        </is>
      </c>
      <c r="F416" s="20" t="inlineStr">
        <is>
          <t>Granola</t>
        </is>
      </c>
      <c r="G416" s="22" t="n">
        <v>1549</v>
      </c>
      <c r="H416" s="23" t="n">
        <v>41.8</v>
      </c>
      <c r="I416" s="23" t="n">
        <v>64748.2</v>
      </c>
      <c r="J416" s="23" t="n">
        <v>40428.9</v>
      </c>
      <c r="K416">
        <f>IF(OR(COUNTIF($A$5:A416,A416)&gt;1,G416&lt;0,C416="",B416&lt;'Work 1'!$C$6,B416&gt;'Work 1'!$C$7,H416&gt;'Work 1'!$C$8*AVERAGEIF($F$5:$F$1014,F416,$H$5:$H$1014)),"Excl",IF(B416&gt;='Work 1'!$C$5,"LTM","Prior"))</f>
        <v/>
      </c>
      <c r="L416">
        <f>I416-J416</f>
        <v/>
      </c>
    </row>
    <row r="417" ht="14.25" customHeight="1" s="54">
      <c r="A417" s="20" t="inlineStr">
        <is>
          <t>BH-40411</t>
        </is>
      </c>
      <c r="B417" s="21" t="n">
        <v>45748</v>
      </c>
      <c r="C417" s="20" t="inlineStr">
        <is>
          <t>C09</t>
        </is>
      </c>
      <c r="D417" s="20" t="inlineStr">
        <is>
          <t>Maple Ridge Grocers</t>
        </is>
      </c>
      <c r="E417" s="20" t="inlineStr">
        <is>
          <t>Grocery</t>
        </is>
      </c>
      <c r="F417" s="20" t="inlineStr">
        <is>
          <t>Snack Bars</t>
        </is>
      </c>
      <c r="G417" s="22" t="n">
        <v>1260</v>
      </c>
      <c r="H417" s="23" t="n">
        <v>32.4</v>
      </c>
      <c r="I417" s="23" t="n">
        <v>40824</v>
      </c>
      <c r="J417" s="23" t="n">
        <v>24948</v>
      </c>
      <c r="K417">
        <f>IF(OR(COUNTIF($A$5:A417,A417)&gt;1,G417&lt;0,C417="",B417&lt;'Work 1'!$C$6,B417&gt;'Work 1'!$C$7,H417&gt;'Work 1'!$C$8*AVERAGEIF($F$5:$F$1014,F417,$H$5:$H$1014)),"Excl",IF(B417&gt;='Work 1'!$C$5,"LTM","Prior"))</f>
        <v/>
      </c>
      <c r="L417">
        <f>I417-J417</f>
        <v/>
      </c>
    </row>
    <row r="418" ht="14.25" customHeight="1" s="54">
      <c r="A418" s="20" t="inlineStr">
        <is>
          <t>BH-40412</t>
        </is>
      </c>
      <c r="B418" s="21" t="n">
        <v>45748</v>
      </c>
      <c r="C418" s="20" t="inlineStr">
        <is>
          <t>C10</t>
        </is>
      </c>
      <c r="D418" s="20" t="inlineStr">
        <is>
          <t>Lakeshore Foods</t>
        </is>
      </c>
      <c r="E418" s="20" t="inlineStr">
        <is>
          <t>Grocery</t>
        </is>
      </c>
      <c r="F418" s="20" t="inlineStr">
        <is>
          <t>Granola</t>
        </is>
      </c>
      <c r="G418" s="22" t="n">
        <v>1397</v>
      </c>
      <c r="H418" s="23" t="n">
        <v>41.8</v>
      </c>
      <c r="I418" s="23" t="n">
        <v>58394.6</v>
      </c>
      <c r="J418" s="23" t="n">
        <v>36461.7</v>
      </c>
      <c r="K418">
        <f>IF(OR(COUNTIF($A$5:A418,A418)&gt;1,G418&lt;0,C418="",B418&lt;'Work 1'!$C$6,B418&gt;'Work 1'!$C$7,H418&gt;'Work 1'!$C$8*AVERAGEIF($F$5:$F$1014,F418,$H$5:$H$1014)),"Excl",IF(B418&gt;='Work 1'!$C$5,"LTM","Prior"))</f>
        <v/>
      </c>
      <c r="L418">
        <f>I418-J418</f>
        <v/>
      </c>
    </row>
    <row r="419" ht="14.25" customHeight="1" s="54">
      <c r="A419" s="20" t="inlineStr">
        <is>
          <t>BH-40413</t>
        </is>
      </c>
      <c r="B419" s="21" t="n">
        <v>45748</v>
      </c>
      <c r="C419" s="20" t="inlineStr">
        <is>
          <t>C10</t>
        </is>
      </c>
      <c r="D419" s="20" t="inlineStr">
        <is>
          <t>Lakeshore Foods</t>
        </is>
      </c>
      <c r="E419" s="20" t="inlineStr">
        <is>
          <t>Grocery</t>
        </is>
      </c>
      <c r="F419" s="20" t="inlineStr">
        <is>
          <t>Nut Butter</t>
        </is>
      </c>
      <c r="G419" s="22" t="n">
        <v>569</v>
      </c>
      <c r="H419" s="23" t="n">
        <v>55.6</v>
      </c>
      <c r="I419" s="23" t="n">
        <v>31636.4</v>
      </c>
      <c r="J419" s="23" t="n">
        <v>21849.6</v>
      </c>
      <c r="K419">
        <f>IF(OR(COUNTIF($A$5:A419,A419)&gt;1,G419&lt;0,C419="",B419&lt;'Work 1'!$C$6,B419&gt;'Work 1'!$C$7,H419&gt;'Work 1'!$C$8*AVERAGEIF($F$5:$F$1014,F419,$H$5:$H$1014)),"Excl",IF(B419&gt;='Work 1'!$C$5,"LTM","Prior"))</f>
        <v/>
      </c>
      <c r="L419">
        <f>I419-J419</f>
        <v/>
      </c>
    </row>
    <row r="420" ht="14.25" customHeight="1" s="54">
      <c r="A420" s="20" t="inlineStr">
        <is>
          <t>BH-40414</t>
        </is>
      </c>
      <c r="B420" s="21" t="n">
        <v>45748</v>
      </c>
      <c r="C420" s="20" t="inlineStr">
        <is>
          <t>C11</t>
        </is>
      </c>
      <c r="D420" s="20" t="inlineStr">
        <is>
          <t>Copper Valley Market</t>
        </is>
      </c>
      <c r="E420" s="20" t="inlineStr">
        <is>
          <t>Grocery</t>
        </is>
      </c>
      <c r="F420" s="20" t="inlineStr">
        <is>
          <t>Granola</t>
        </is>
      </c>
      <c r="G420" s="22" t="n">
        <v>1197</v>
      </c>
      <c r="H420" s="23" t="n">
        <v>41.8</v>
      </c>
      <c r="I420" s="23" t="n">
        <v>50034.6</v>
      </c>
      <c r="J420" s="23" t="n">
        <v>31241.7</v>
      </c>
      <c r="K420">
        <f>IF(OR(COUNTIF($A$5:A420,A420)&gt;1,G420&lt;0,C420="",B420&lt;'Work 1'!$C$6,B420&gt;'Work 1'!$C$7,H420&gt;'Work 1'!$C$8*AVERAGEIF($F$5:$F$1014,F420,$H$5:$H$1014)),"Excl",IF(B420&gt;='Work 1'!$C$5,"LTM","Prior"))</f>
        <v/>
      </c>
      <c r="L420">
        <f>I420-J420</f>
        <v/>
      </c>
    </row>
    <row r="421" ht="14.25" customHeight="1" s="54">
      <c r="A421" s="20" t="inlineStr">
        <is>
          <t>BH-40415</t>
        </is>
      </c>
      <c r="B421" s="21" t="n">
        <v>45748</v>
      </c>
      <c r="C421" s="20" t="inlineStr">
        <is>
          <t>C11</t>
        </is>
      </c>
      <c r="D421" s="20" t="inlineStr">
        <is>
          <t>Copper Valley Market</t>
        </is>
      </c>
      <c r="E421" s="20" t="inlineStr">
        <is>
          <t>Grocery</t>
        </is>
      </c>
      <c r="F421" s="20" t="inlineStr">
        <is>
          <t>Snack Bars</t>
        </is>
      </c>
      <c r="G421" s="22" t="n">
        <v>1291</v>
      </c>
      <c r="H421" s="23" t="n">
        <v>32.4</v>
      </c>
      <c r="I421" s="23" t="n">
        <v>41828.4</v>
      </c>
      <c r="J421" s="23" t="n">
        <v>25561.8</v>
      </c>
      <c r="K421">
        <f>IF(OR(COUNTIF($A$5:A421,A421)&gt;1,G421&lt;0,C421="",B421&lt;'Work 1'!$C$6,B421&gt;'Work 1'!$C$7,H421&gt;'Work 1'!$C$8*AVERAGEIF($F$5:$F$1014,F421,$H$5:$H$1014)),"Excl",IF(B421&gt;='Work 1'!$C$5,"LTM","Prior"))</f>
        <v/>
      </c>
      <c r="L421">
        <f>I421-J421</f>
        <v/>
      </c>
    </row>
    <row r="422" ht="14.25" customHeight="1" s="54">
      <c r="A422" s="20" t="inlineStr">
        <is>
          <t>BH-40416</t>
        </is>
      </c>
      <c r="B422" s="21" t="n">
        <v>45748</v>
      </c>
      <c r="C422" s="20" t="inlineStr">
        <is>
          <t>C12</t>
        </is>
      </c>
      <c r="D422" s="20" t="inlineStr">
        <is>
          <t>Riverbend Grocery</t>
        </is>
      </c>
      <c r="E422" s="20" t="inlineStr">
        <is>
          <t>Grocery</t>
        </is>
      </c>
      <c r="F422" s="20" t="inlineStr">
        <is>
          <t>Granola</t>
        </is>
      </c>
      <c r="G422" s="22" t="n">
        <v>1725</v>
      </c>
      <c r="H422" s="23" t="n">
        <v>41.8</v>
      </c>
      <c r="I422" s="23" t="n">
        <v>72105</v>
      </c>
      <c r="J422" s="23" t="n">
        <v>45022.5</v>
      </c>
      <c r="K422">
        <f>IF(OR(COUNTIF($A$5:A422,A422)&gt;1,G422&lt;0,C422="",B422&lt;'Work 1'!$C$6,B422&gt;'Work 1'!$C$7,H422&gt;'Work 1'!$C$8*AVERAGEIF($F$5:$F$1014,F422,$H$5:$H$1014)),"Excl",IF(B422&gt;='Work 1'!$C$5,"LTM","Prior"))</f>
        <v/>
      </c>
      <c r="L422">
        <f>I422-J422</f>
        <v/>
      </c>
    </row>
    <row r="423" ht="14.25" customHeight="1" s="54">
      <c r="A423" s="20" t="inlineStr">
        <is>
          <t>BH-40417</t>
        </is>
      </c>
      <c r="B423" s="21" t="n">
        <v>45748</v>
      </c>
      <c r="C423" s="20" t="inlineStr">
        <is>
          <t>C12</t>
        </is>
      </c>
      <c r="D423" s="20" t="inlineStr">
        <is>
          <t>Riverbend Grocery</t>
        </is>
      </c>
      <c r="E423" s="20" t="inlineStr">
        <is>
          <t>Grocery</t>
        </is>
      </c>
      <c r="F423" s="20" t="inlineStr">
        <is>
          <t>Nut Butter</t>
        </is>
      </c>
      <c r="G423" s="22" t="n">
        <v>747</v>
      </c>
      <c r="H423" s="23" t="n">
        <v>55.6</v>
      </c>
      <c r="I423" s="23" t="n">
        <v>41533.2</v>
      </c>
      <c r="J423" s="23" t="n">
        <v>28684.8</v>
      </c>
      <c r="K423">
        <f>IF(OR(COUNTIF($A$5:A423,A423)&gt;1,G423&lt;0,C423="",B423&lt;'Work 1'!$C$6,B423&gt;'Work 1'!$C$7,H423&gt;'Work 1'!$C$8*AVERAGEIF($F$5:$F$1014,F423,$H$5:$H$1014)),"Excl",IF(B423&gt;='Work 1'!$C$5,"LTM","Prior"))</f>
        <v/>
      </c>
      <c r="L423">
        <f>I423-J423</f>
        <v/>
      </c>
    </row>
    <row r="424" ht="14.25" customHeight="1" s="54">
      <c r="A424" s="20" t="inlineStr">
        <is>
          <t>BH-40418</t>
        </is>
      </c>
      <c r="B424" s="21" t="n">
        <v>45748</v>
      </c>
      <c r="C424" s="20" t="inlineStr">
        <is>
          <t>C13</t>
        </is>
      </c>
      <c r="D424" s="20" t="inlineStr">
        <is>
          <t>Sunfield Markets</t>
        </is>
      </c>
      <c r="E424" s="20" t="inlineStr">
        <is>
          <t>Grocery</t>
        </is>
      </c>
      <c r="F424" s="20" t="inlineStr">
        <is>
          <t>Granola</t>
        </is>
      </c>
      <c r="G424" s="22" t="n">
        <v>966</v>
      </c>
      <c r="H424" s="23" t="n">
        <v>41.8</v>
      </c>
      <c r="I424" s="23" t="n">
        <v>40378.8</v>
      </c>
      <c r="J424" s="23" t="n">
        <v>25212.6</v>
      </c>
      <c r="K424">
        <f>IF(OR(COUNTIF($A$5:A424,A424)&gt;1,G424&lt;0,C424="",B424&lt;'Work 1'!$C$6,B424&gt;'Work 1'!$C$7,H424&gt;'Work 1'!$C$8*AVERAGEIF($F$5:$F$1014,F424,$H$5:$H$1014)),"Excl",IF(B424&gt;='Work 1'!$C$5,"LTM","Prior"))</f>
        <v/>
      </c>
      <c r="L424">
        <f>I424-J424</f>
        <v/>
      </c>
    </row>
    <row r="425" ht="14.25" customHeight="1" s="54">
      <c r="A425" s="20" t="inlineStr">
        <is>
          <t>BH-40419</t>
        </is>
      </c>
      <c r="B425" s="21" t="n">
        <v>45748</v>
      </c>
      <c r="C425" s="20" t="inlineStr">
        <is>
          <t>C13</t>
        </is>
      </c>
      <c r="D425" s="20" t="inlineStr">
        <is>
          <t>Sunfield Markets</t>
        </is>
      </c>
      <c r="E425" s="20" t="inlineStr">
        <is>
          <t>Grocery</t>
        </is>
      </c>
      <c r="F425" s="20" t="inlineStr">
        <is>
          <t>Snack Bars</t>
        </is>
      </c>
      <c r="G425" s="22" t="n">
        <v>1063</v>
      </c>
      <c r="H425" s="23" t="n">
        <v>32.4</v>
      </c>
      <c r="I425" s="23" t="n">
        <v>34441.2</v>
      </c>
      <c r="J425" s="23" t="n">
        <v>21047.4</v>
      </c>
      <c r="K425">
        <f>IF(OR(COUNTIF($A$5:A425,A425)&gt;1,G425&lt;0,C425="",B425&lt;'Work 1'!$C$6,B425&gt;'Work 1'!$C$7,H425&gt;'Work 1'!$C$8*AVERAGEIF($F$5:$F$1014,F425,$H$5:$H$1014)),"Excl",IF(B425&gt;='Work 1'!$C$5,"LTM","Prior"))</f>
        <v/>
      </c>
      <c r="L425">
        <f>I425-J425</f>
        <v/>
      </c>
    </row>
    <row r="426" ht="14.25" customHeight="1" s="54">
      <c r="A426" s="20" t="inlineStr">
        <is>
          <t>BH-40420</t>
        </is>
      </c>
      <c r="B426" s="21" t="n">
        <v>45748</v>
      </c>
      <c r="C426" s="20" t="inlineStr">
        <is>
          <t>C14</t>
        </is>
      </c>
      <c r="D426" s="20" t="inlineStr">
        <is>
          <t>Oak Hollow Foods</t>
        </is>
      </c>
      <c r="E426" s="20" t="inlineStr">
        <is>
          <t>Grocery</t>
        </is>
      </c>
      <c r="F426" s="20" t="inlineStr">
        <is>
          <t>Granola</t>
        </is>
      </c>
      <c r="G426" s="22" t="n">
        <v>1188</v>
      </c>
      <c r="H426" s="23" t="n">
        <v>41.8</v>
      </c>
      <c r="I426" s="23" t="n">
        <v>49658.4</v>
      </c>
      <c r="J426" s="23" t="n">
        <v>31006.8</v>
      </c>
      <c r="K426">
        <f>IF(OR(COUNTIF($A$5:A426,A426)&gt;1,G426&lt;0,C426="",B426&lt;'Work 1'!$C$6,B426&gt;'Work 1'!$C$7,H426&gt;'Work 1'!$C$8*AVERAGEIF($F$5:$F$1014,F426,$H$5:$H$1014)),"Excl",IF(B426&gt;='Work 1'!$C$5,"LTM","Prior"))</f>
        <v/>
      </c>
      <c r="L426">
        <f>I426-J426</f>
        <v/>
      </c>
    </row>
    <row r="427" ht="14.25" customHeight="1" s="54">
      <c r="A427" s="20" t="inlineStr">
        <is>
          <t>BH-40421</t>
        </is>
      </c>
      <c r="B427" s="21" t="n">
        <v>45748</v>
      </c>
      <c r="C427" s="20" t="inlineStr">
        <is>
          <t>C14</t>
        </is>
      </c>
      <c r="D427" s="20" t="inlineStr">
        <is>
          <t>Oak Hollow Foods</t>
        </is>
      </c>
      <c r="E427" s="20" t="inlineStr">
        <is>
          <t>Grocery</t>
        </is>
      </c>
      <c r="F427" s="20" t="inlineStr">
        <is>
          <t>Nut Butter</t>
        </is>
      </c>
      <c r="G427" s="22" t="n">
        <v>418</v>
      </c>
      <c r="H427" s="23" t="n">
        <v>55.6</v>
      </c>
      <c r="I427" s="23" t="n">
        <v>23240.8</v>
      </c>
      <c r="J427" s="23" t="n">
        <v>16051.2</v>
      </c>
      <c r="K427">
        <f>IF(OR(COUNTIF($A$5:A427,A427)&gt;1,G427&lt;0,C427="",B427&lt;'Work 1'!$C$6,B427&gt;'Work 1'!$C$7,H427&gt;'Work 1'!$C$8*AVERAGEIF($F$5:$F$1014,F427,$H$5:$H$1014)),"Excl",IF(B427&gt;='Work 1'!$C$5,"LTM","Prior"))</f>
        <v/>
      </c>
      <c r="L427">
        <f>I427-J427</f>
        <v/>
      </c>
    </row>
    <row r="428" ht="14.25" customHeight="1" s="54">
      <c r="A428" s="20" t="inlineStr">
        <is>
          <t>BH-40422</t>
        </is>
      </c>
      <c r="B428" s="21" t="n">
        <v>45748</v>
      </c>
      <c r="C428" s="20" t="inlineStr">
        <is>
          <t>C14</t>
        </is>
      </c>
      <c r="D428" s="20" t="inlineStr">
        <is>
          <t>Oak Hollow Foods</t>
        </is>
      </c>
      <c r="E428" s="20" t="inlineStr">
        <is>
          <t>Grocery</t>
        </is>
      </c>
      <c r="F428" s="20" t="inlineStr">
        <is>
          <t>Snack Bars</t>
        </is>
      </c>
      <c r="G428" s="22" t="n">
        <v>718</v>
      </c>
      <c r="H428" s="23" t="n">
        <v>32.4</v>
      </c>
      <c r="I428" s="23" t="n">
        <v>23263.2</v>
      </c>
      <c r="J428" s="23" t="n">
        <v>14216.4</v>
      </c>
      <c r="K428">
        <f>IF(OR(COUNTIF($A$5:A428,A428)&gt;1,G428&lt;0,C428="",B428&lt;'Work 1'!$C$6,B428&gt;'Work 1'!$C$7,H428&gt;'Work 1'!$C$8*AVERAGEIF($F$5:$F$1014,F428,$H$5:$H$1014)),"Excl",IF(B428&gt;='Work 1'!$C$5,"LTM","Prior"))</f>
        <v/>
      </c>
      <c r="L428">
        <f>I428-J428</f>
        <v/>
      </c>
    </row>
    <row r="429" ht="14.25" customHeight="1" s="54">
      <c r="A429" s="20" t="inlineStr">
        <is>
          <t>BH-40423</t>
        </is>
      </c>
      <c r="B429" s="21" t="n">
        <v>45748</v>
      </c>
      <c r="C429" s="20" t="inlineStr">
        <is>
          <t>C15</t>
        </is>
      </c>
      <c r="D429" s="20" t="inlineStr">
        <is>
          <t>Prairie Fresh</t>
        </is>
      </c>
      <c r="E429" s="20" t="inlineStr">
        <is>
          <t>Grocery</t>
        </is>
      </c>
      <c r="F429" s="20" t="inlineStr">
        <is>
          <t>Granola</t>
        </is>
      </c>
      <c r="G429" s="22" t="n">
        <v>1354</v>
      </c>
      <c r="H429" s="23" t="n">
        <v>41.8</v>
      </c>
      <c r="I429" s="23" t="n">
        <v>56597.2</v>
      </c>
      <c r="J429" s="23" t="n">
        <v>35339.4</v>
      </c>
      <c r="K429">
        <f>IF(OR(COUNTIF($A$5:A429,A429)&gt;1,G429&lt;0,C429="",B429&lt;'Work 1'!$C$6,B429&gt;'Work 1'!$C$7,H429&gt;'Work 1'!$C$8*AVERAGEIF($F$5:$F$1014,F429,$H$5:$H$1014)),"Excl",IF(B429&gt;='Work 1'!$C$5,"LTM","Prior"))</f>
        <v/>
      </c>
      <c r="L429">
        <f>I429-J429</f>
        <v/>
      </c>
    </row>
    <row r="430" ht="14.25" customHeight="1" s="54">
      <c r="A430" s="20" t="inlineStr">
        <is>
          <t>BH-40424</t>
        </is>
      </c>
      <c r="B430" s="21" t="n">
        <v>45748</v>
      </c>
      <c r="C430" s="20" t="inlineStr">
        <is>
          <t>C15</t>
        </is>
      </c>
      <c r="D430" s="20" t="inlineStr">
        <is>
          <t>Prairie Fresh</t>
        </is>
      </c>
      <c r="E430" s="20" t="inlineStr">
        <is>
          <t>Grocery</t>
        </is>
      </c>
      <c r="F430" s="20" t="inlineStr">
        <is>
          <t>Snack Bars</t>
        </is>
      </c>
      <c r="G430" s="22" t="n">
        <v>1000</v>
      </c>
      <c r="H430" s="23" t="n">
        <v>32.4</v>
      </c>
      <c r="I430" s="23" t="n">
        <v>32400</v>
      </c>
      <c r="J430" s="23" t="n">
        <v>19800</v>
      </c>
      <c r="K430">
        <f>IF(OR(COUNTIF($A$5:A430,A430)&gt;1,G430&lt;0,C430="",B430&lt;'Work 1'!$C$6,B430&gt;'Work 1'!$C$7,H430&gt;'Work 1'!$C$8*AVERAGEIF($F$5:$F$1014,F430,$H$5:$H$1014)),"Excl",IF(B430&gt;='Work 1'!$C$5,"LTM","Prior"))</f>
        <v/>
      </c>
      <c r="L430">
        <f>I430-J430</f>
        <v/>
      </c>
    </row>
    <row r="431" ht="14.25" customHeight="1" s="54">
      <c r="A431" s="20" t="inlineStr">
        <is>
          <t>BH-40425</t>
        </is>
      </c>
      <c r="B431" s="21" t="n">
        <v>45748</v>
      </c>
      <c r="C431" s="20" t="inlineStr">
        <is>
          <t>C16</t>
        </is>
      </c>
      <c r="D431" s="20" t="inlineStr">
        <is>
          <t>Bay Street Market</t>
        </is>
      </c>
      <c r="E431" s="20" t="inlineStr">
        <is>
          <t>Grocery</t>
        </is>
      </c>
      <c r="F431" s="20" t="inlineStr">
        <is>
          <t>Granola</t>
        </is>
      </c>
      <c r="G431" s="22" t="n">
        <v>960</v>
      </c>
      <c r="H431" s="23" t="n">
        <v>41.8</v>
      </c>
      <c r="I431" s="23" t="n">
        <v>40128</v>
      </c>
      <c r="J431" s="23" t="n">
        <v>25056</v>
      </c>
      <c r="K431">
        <f>IF(OR(COUNTIF($A$5:A431,A431)&gt;1,G431&lt;0,C431="",B431&lt;'Work 1'!$C$6,B431&gt;'Work 1'!$C$7,H431&gt;'Work 1'!$C$8*AVERAGEIF($F$5:$F$1014,F431,$H$5:$H$1014)),"Excl",IF(B431&gt;='Work 1'!$C$5,"LTM","Prior"))</f>
        <v/>
      </c>
      <c r="L431">
        <f>I431-J431</f>
        <v/>
      </c>
    </row>
    <row r="432" ht="14.25" customHeight="1" s="54">
      <c r="A432" s="20" t="inlineStr">
        <is>
          <t>BH-40426</t>
        </is>
      </c>
      <c r="B432" s="21" t="n">
        <v>45748</v>
      </c>
      <c r="C432" s="20" t="inlineStr">
        <is>
          <t>C16</t>
        </is>
      </c>
      <c r="D432" s="20" t="inlineStr">
        <is>
          <t>Bay Street Market</t>
        </is>
      </c>
      <c r="E432" s="20" t="inlineStr">
        <is>
          <t>Grocery</t>
        </is>
      </c>
      <c r="F432" s="20" t="inlineStr">
        <is>
          <t>Nut Butter</t>
        </is>
      </c>
      <c r="G432" s="22" t="n">
        <v>608</v>
      </c>
      <c r="H432" s="23" t="n">
        <v>55.6</v>
      </c>
      <c r="I432" s="23" t="n">
        <v>33804.8</v>
      </c>
      <c r="J432" s="23" t="n">
        <v>23347.2</v>
      </c>
      <c r="K432">
        <f>IF(OR(COUNTIF($A$5:A432,A432)&gt;1,G432&lt;0,C432="",B432&lt;'Work 1'!$C$6,B432&gt;'Work 1'!$C$7,H432&gt;'Work 1'!$C$8*AVERAGEIF($F$5:$F$1014,F432,$H$5:$H$1014)),"Excl",IF(B432&gt;='Work 1'!$C$5,"LTM","Prior"))</f>
        <v/>
      </c>
      <c r="L432">
        <f>I432-J432</f>
        <v/>
      </c>
    </row>
    <row r="433" ht="14.25" customHeight="1" s="54">
      <c r="A433" s="20" t="inlineStr">
        <is>
          <t>BH-40427</t>
        </is>
      </c>
      <c r="B433" s="21" t="n">
        <v>45748</v>
      </c>
      <c r="C433" s="20" t="inlineStr">
        <is>
          <t>C18</t>
        </is>
      </c>
      <c r="D433" s="20" t="inlineStr">
        <is>
          <t>Hillcrest Food Co.</t>
        </is>
      </c>
      <c r="E433" s="20" t="inlineStr">
        <is>
          <t>Grocery</t>
        </is>
      </c>
      <c r="F433" s="20" t="inlineStr">
        <is>
          <t>Granola</t>
        </is>
      </c>
      <c r="G433" s="22" t="n">
        <v>961</v>
      </c>
      <c r="H433" s="23" t="n">
        <v>41.8</v>
      </c>
      <c r="I433" s="23" t="n">
        <v>40169.8</v>
      </c>
      <c r="J433" s="23" t="n">
        <v>25082.1</v>
      </c>
      <c r="K433">
        <f>IF(OR(COUNTIF($A$5:A433,A433)&gt;1,G433&lt;0,C433="",B433&lt;'Work 1'!$C$6,B433&gt;'Work 1'!$C$7,H433&gt;'Work 1'!$C$8*AVERAGEIF($F$5:$F$1014,F433,$H$5:$H$1014)),"Excl",IF(B433&gt;='Work 1'!$C$5,"LTM","Prior"))</f>
        <v/>
      </c>
      <c r="L433">
        <f>I433-J433</f>
        <v/>
      </c>
    </row>
    <row r="434" ht="14.25" customHeight="1" s="54">
      <c r="A434" s="20" t="inlineStr">
        <is>
          <t>BH-40428</t>
        </is>
      </c>
      <c r="B434" s="21" t="n">
        <v>45748</v>
      </c>
      <c r="C434" s="20" t="inlineStr">
        <is>
          <t>C18</t>
        </is>
      </c>
      <c r="D434" s="20" t="inlineStr">
        <is>
          <t>Hillcrest Food Co.</t>
        </is>
      </c>
      <c r="E434" s="20" t="inlineStr">
        <is>
          <t>Grocery</t>
        </is>
      </c>
      <c r="F434" s="20" t="inlineStr">
        <is>
          <t>Nut Butter</t>
        </is>
      </c>
      <c r="G434" s="22" t="n">
        <v>425</v>
      </c>
      <c r="H434" s="23" t="n">
        <v>55.6</v>
      </c>
      <c r="I434" s="23" t="n">
        <v>23630</v>
      </c>
      <c r="J434" s="23" t="n">
        <v>16320</v>
      </c>
      <c r="K434">
        <f>IF(OR(COUNTIF($A$5:A434,A434)&gt;1,G434&lt;0,C434="",B434&lt;'Work 1'!$C$6,B434&gt;'Work 1'!$C$7,H434&gt;'Work 1'!$C$8*AVERAGEIF($F$5:$F$1014,F434,$H$5:$H$1014)),"Excl",IF(B434&gt;='Work 1'!$C$5,"LTM","Prior"))</f>
        <v/>
      </c>
      <c r="L434">
        <f>I434-J434</f>
        <v/>
      </c>
    </row>
    <row r="435" ht="14.25" customHeight="1" s="54">
      <c r="A435" s="20" t="inlineStr">
        <is>
          <t>BH-40429</t>
        </is>
      </c>
      <c r="B435" s="21" t="n">
        <v>45778</v>
      </c>
      <c r="C435" s="20" t="inlineStr">
        <is>
          <t>C01</t>
        </is>
      </c>
      <c r="D435" s="20" t="inlineStr">
        <is>
          <t>Northfield Markets</t>
        </is>
      </c>
      <c r="E435" s="20" t="inlineStr">
        <is>
          <t>Grocery</t>
        </is>
      </c>
      <c r="F435" s="20" t="inlineStr">
        <is>
          <t>Granola</t>
        </is>
      </c>
      <c r="G435" s="22" t="n">
        <v>13944</v>
      </c>
      <c r="H435" s="23" t="n">
        <v>39.29</v>
      </c>
      <c r="I435" s="23" t="n">
        <v>547859.76</v>
      </c>
      <c r="J435" s="23" t="n">
        <v>363938.4</v>
      </c>
      <c r="K435">
        <f>IF(OR(COUNTIF($A$5:A435,A435)&gt;1,G435&lt;0,C435="",B435&lt;'Work 1'!$C$6,B435&gt;'Work 1'!$C$7,H435&gt;'Work 1'!$C$8*AVERAGEIF($F$5:$F$1014,F435,$H$5:$H$1014)),"Excl",IF(B435&gt;='Work 1'!$C$5,"LTM","Prior"))</f>
        <v/>
      </c>
      <c r="L435">
        <f>I435-J435</f>
        <v/>
      </c>
    </row>
    <row r="436" ht="14.25" customHeight="1" s="54">
      <c r="A436" s="20" t="inlineStr">
        <is>
          <t>BH-40430</t>
        </is>
      </c>
      <c r="B436" s="21" t="n">
        <v>45778</v>
      </c>
      <c r="C436" s="20" t="inlineStr">
        <is>
          <t>C01</t>
        </is>
      </c>
      <c r="D436" s="20" t="inlineStr">
        <is>
          <t>Northfield Markets</t>
        </is>
      </c>
      <c r="E436" s="20" t="inlineStr">
        <is>
          <t>Grocery</t>
        </is>
      </c>
      <c r="F436" s="20" t="inlineStr">
        <is>
          <t>Nut Butter</t>
        </is>
      </c>
      <c r="G436" s="22" t="n">
        <v>6992</v>
      </c>
      <c r="H436" s="23" t="n">
        <v>52.26</v>
      </c>
      <c r="I436" s="23" t="n">
        <v>365401.92</v>
      </c>
      <c r="J436" s="23" t="n">
        <v>268492.8</v>
      </c>
      <c r="K436">
        <f>IF(OR(COUNTIF($A$5:A436,A436)&gt;1,G436&lt;0,C436="",B436&lt;'Work 1'!$C$6,B436&gt;'Work 1'!$C$7,H436&gt;'Work 1'!$C$8*AVERAGEIF($F$5:$F$1014,F436,$H$5:$H$1014)),"Excl",IF(B436&gt;='Work 1'!$C$5,"LTM","Prior"))</f>
        <v/>
      </c>
      <c r="L436">
        <f>I436-J436</f>
        <v/>
      </c>
    </row>
    <row r="437" ht="14.25" customHeight="1" s="54">
      <c r="A437" s="20" t="inlineStr">
        <is>
          <t>BH-40431</t>
        </is>
      </c>
      <c r="B437" s="21" t="n">
        <v>45778</v>
      </c>
      <c r="C437" s="20" t="inlineStr">
        <is>
          <t>C01</t>
        </is>
      </c>
      <c r="D437" s="20" t="inlineStr">
        <is>
          <t>Northfield Markets</t>
        </is>
      </c>
      <c r="E437" s="20" t="inlineStr">
        <is>
          <t>Grocery</t>
        </is>
      </c>
      <c r="F437" s="20" t="inlineStr">
        <is>
          <t>Snack Bars</t>
        </is>
      </c>
      <c r="G437" s="22" t="n">
        <v>9984</v>
      </c>
      <c r="H437" s="23" t="n">
        <v>30.46</v>
      </c>
      <c r="I437" s="23" t="n">
        <v>304112.64</v>
      </c>
      <c r="J437" s="23" t="n">
        <v>197683.2</v>
      </c>
      <c r="K437">
        <f>IF(OR(COUNTIF($A$5:A437,A437)&gt;1,G437&lt;0,C437="",B437&lt;'Work 1'!$C$6,B437&gt;'Work 1'!$C$7,H437&gt;'Work 1'!$C$8*AVERAGEIF($F$5:$F$1014,F437,$H$5:$H$1014)),"Excl",IF(B437&gt;='Work 1'!$C$5,"LTM","Prior"))</f>
        <v/>
      </c>
      <c r="L437">
        <f>I437-J437</f>
        <v/>
      </c>
    </row>
    <row r="438" ht="14.25" customHeight="1" s="54">
      <c r="A438" s="20" t="inlineStr">
        <is>
          <t>BH-40432</t>
        </is>
      </c>
      <c r="B438" s="21" t="n">
        <v>45778</v>
      </c>
      <c r="C438" s="20" t="inlineStr">
        <is>
          <t>C02</t>
        </is>
      </c>
      <c r="D438" s="20" t="inlineStr">
        <is>
          <t>Crestline Grocers</t>
        </is>
      </c>
      <c r="E438" s="20" t="inlineStr">
        <is>
          <t>Grocery</t>
        </is>
      </c>
      <c r="F438" s="20" t="inlineStr">
        <is>
          <t>Granola</t>
        </is>
      </c>
      <c r="G438" s="22" t="n">
        <v>3665</v>
      </c>
      <c r="H438" s="23" t="n">
        <v>40.55</v>
      </c>
      <c r="I438" s="23" t="n">
        <v>148615.75</v>
      </c>
      <c r="J438" s="23" t="n">
        <v>95656.5</v>
      </c>
      <c r="K438">
        <f>IF(OR(COUNTIF($A$5:A438,A438)&gt;1,G438&lt;0,C438="",B438&lt;'Work 1'!$C$6,B438&gt;'Work 1'!$C$7,H438&gt;'Work 1'!$C$8*AVERAGEIF($F$5:$F$1014,F438,$H$5:$H$1014)),"Excl",IF(B438&gt;='Work 1'!$C$5,"LTM","Prior"))</f>
        <v/>
      </c>
      <c r="L438">
        <f>I438-J438</f>
        <v/>
      </c>
    </row>
    <row r="439" ht="14.25" customHeight="1" s="54">
      <c r="A439" s="20" t="inlineStr">
        <is>
          <t>BH-40433</t>
        </is>
      </c>
      <c r="B439" s="21" t="n">
        <v>45778</v>
      </c>
      <c r="C439" s="20" t="inlineStr">
        <is>
          <t>C02</t>
        </is>
      </c>
      <c r="D439" s="20" t="inlineStr">
        <is>
          <t>Crestline Grocers</t>
        </is>
      </c>
      <c r="E439" s="20" t="inlineStr">
        <is>
          <t>Grocery</t>
        </is>
      </c>
      <c r="F439" s="20" t="inlineStr">
        <is>
          <t>Nut Butter</t>
        </is>
      </c>
      <c r="G439" s="22" t="n">
        <v>1963</v>
      </c>
      <c r="H439" s="23" t="n">
        <v>53.93</v>
      </c>
      <c r="I439" s="23" t="n">
        <v>105864.59</v>
      </c>
      <c r="J439" s="23" t="n">
        <v>75379.2</v>
      </c>
      <c r="K439">
        <f>IF(OR(COUNTIF($A$5:A439,A439)&gt;1,G439&lt;0,C439="",B439&lt;'Work 1'!$C$6,B439&gt;'Work 1'!$C$7,H439&gt;'Work 1'!$C$8*AVERAGEIF($F$5:$F$1014,F439,$H$5:$H$1014)),"Excl",IF(B439&gt;='Work 1'!$C$5,"LTM","Prior"))</f>
        <v/>
      </c>
      <c r="L439">
        <f>I439-J439</f>
        <v/>
      </c>
    </row>
    <row r="440" ht="14.25" customHeight="1" s="54">
      <c r="A440" s="20" t="inlineStr">
        <is>
          <t>BH-40434</t>
        </is>
      </c>
      <c r="B440" s="21" t="n">
        <v>45778</v>
      </c>
      <c r="C440" s="20" t="inlineStr">
        <is>
          <t>C02</t>
        </is>
      </c>
      <c r="D440" s="20" t="inlineStr">
        <is>
          <t>Crestline Grocers</t>
        </is>
      </c>
      <c r="E440" s="20" t="inlineStr">
        <is>
          <t>Grocery</t>
        </is>
      </c>
      <c r="F440" s="20" t="inlineStr">
        <is>
          <t>Snack Bars</t>
        </is>
      </c>
      <c r="G440" s="22" t="n">
        <v>3364</v>
      </c>
      <c r="H440" s="23" t="n">
        <v>31.43</v>
      </c>
      <c r="I440" s="23" t="n">
        <v>105730.52</v>
      </c>
      <c r="J440" s="23" t="n">
        <v>66607.2</v>
      </c>
      <c r="K440">
        <f>IF(OR(COUNTIF($A$5:A440,A440)&gt;1,G440&lt;0,C440="",B440&lt;'Work 1'!$C$6,B440&gt;'Work 1'!$C$7,H440&gt;'Work 1'!$C$8*AVERAGEIF($F$5:$F$1014,F440,$H$5:$H$1014)),"Excl",IF(B440&gt;='Work 1'!$C$5,"LTM","Prior"))</f>
        <v/>
      </c>
      <c r="L440">
        <f>I440-J440</f>
        <v/>
      </c>
    </row>
    <row r="441" ht="14.25" customHeight="1" s="54">
      <c r="A441" s="20" t="inlineStr">
        <is>
          <t>BH-40435</t>
        </is>
      </c>
      <c r="B441" s="21" t="n">
        <v>45778</v>
      </c>
      <c r="C441" s="20" t="inlineStr">
        <is>
          <t>C03</t>
        </is>
      </c>
      <c r="D441" s="20" t="inlineStr">
        <is>
          <t>ValuClub Warehouse</t>
        </is>
      </c>
      <c r="E441" s="20" t="inlineStr">
        <is>
          <t>Club</t>
        </is>
      </c>
      <c r="F441" s="20" t="inlineStr">
        <is>
          <t>Granola</t>
        </is>
      </c>
      <c r="G441" s="22" t="n">
        <v>11701</v>
      </c>
      <c r="H441" s="23" t="n">
        <v>35.9</v>
      </c>
      <c r="I441" s="23" t="n">
        <v>420065.9</v>
      </c>
      <c r="J441" s="23" t="n">
        <v>305396.1</v>
      </c>
      <c r="K441">
        <f>IF(OR(COUNTIF($A$5:A441,A441)&gt;1,G441&lt;0,C441="",B441&lt;'Work 1'!$C$6,B441&gt;'Work 1'!$C$7,H441&gt;'Work 1'!$C$8*AVERAGEIF($F$5:$F$1014,F441,$H$5:$H$1014)),"Excl",IF(B441&gt;='Work 1'!$C$5,"LTM","Prior"))</f>
        <v/>
      </c>
      <c r="L441">
        <f>I441-J441</f>
        <v/>
      </c>
    </row>
    <row r="442" ht="14.25" customHeight="1" s="54">
      <c r="A442" s="20" t="inlineStr">
        <is>
          <t>BH-40436</t>
        </is>
      </c>
      <c r="B442" s="21" t="n">
        <v>45778</v>
      </c>
      <c r="C442" s="20" t="inlineStr">
        <is>
          <t>C03</t>
        </is>
      </c>
      <c r="D442" s="20" t="inlineStr">
        <is>
          <t>ValuClub Warehouse</t>
        </is>
      </c>
      <c r="E442" s="20" t="inlineStr">
        <is>
          <t>Club</t>
        </is>
      </c>
      <c r="F442" s="20" t="inlineStr">
        <is>
          <t>Snack Bars</t>
        </is>
      </c>
      <c r="G442" s="22" t="n">
        <v>12894</v>
      </c>
      <c r="H442" s="23" t="n">
        <v>27.4</v>
      </c>
      <c r="I442" s="23" t="n">
        <v>353295.6</v>
      </c>
      <c r="J442" s="23" t="n">
        <v>255301.2</v>
      </c>
      <c r="K442">
        <f>IF(OR(COUNTIF($A$5:A442,A442)&gt;1,G442&lt;0,C442="",B442&lt;'Work 1'!$C$6,B442&gt;'Work 1'!$C$7,H442&gt;'Work 1'!$C$8*AVERAGEIF($F$5:$F$1014,F442,$H$5:$H$1014)),"Excl",IF(B442&gt;='Work 1'!$C$5,"LTM","Prior"))</f>
        <v/>
      </c>
      <c r="L442">
        <f>I442-J442</f>
        <v/>
      </c>
    </row>
    <row r="443" ht="14.25" customHeight="1" s="54">
      <c r="A443" s="20" t="inlineStr">
        <is>
          <t>BH-40437</t>
        </is>
      </c>
      <c r="B443" s="21" t="n">
        <v>45778</v>
      </c>
      <c r="C443" s="20" t="inlineStr">
        <is>
          <t>C04</t>
        </is>
      </c>
      <c r="D443" s="20" t="inlineStr">
        <is>
          <t>Harvest Lane Co-op</t>
        </is>
      </c>
      <c r="E443" s="20" t="inlineStr">
        <is>
          <t>Grocery</t>
        </is>
      </c>
      <c r="F443" s="20" t="inlineStr">
        <is>
          <t>Granola</t>
        </is>
      </c>
      <c r="G443" s="22" t="n">
        <v>2821</v>
      </c>
      <c r="H443" s="23" t="n">
        <v>41.8</v>
      </c>
      <c r="I443" s="23" t="n">
        <v>117917.8</v>
      </c>
      <c r="J443" s="23" t="n">
        <v>73628.10000000001</v>
      </c>
      <c r="K443">
        <f>IF(OR(COUNTIF($A$5:A443,A443)&gt;1,G443&lt;0,C443="",B443&lt;'Work 1'!$C$6,B443&gt;'Work 1'!$C$7,H443&gt;'Work 1'!$C$8*AVERAGEIF($F$5:$F$1014,F443,$H$5:$H$1014)),"Excl",IF(B443&gt;='Work 1'!$C$5,"LTM","Prior"))</f>
        <v/>
      </c>
      <c r="L443">
        <f>I443-J443</f>
        <v/>
      </c>
    </row>
    <row r="444" ht="14.25" customHeight="1" s="54">
      <c r="A444" s="20" t="inlineStr">
        <is>
          <t>BH-40438</t>
        </is>
      </c>
      <c r="B444" s="21" t="n">
        <v>45778</v>
      </c>
      <c r="C444" s="20" t="inlineStr">
        <is>
          <t>C04</t>
        </is>
      </c>
      <c r="D444" s="20" t="inlineStr">
        <is>
          <t>Harvest Lane Co-op</t>
        </is>
      </c>
      <c r="E444" s="20" t="inlineStr">
        <is>
          <t>Grocery</t>
        </is>
      </c>
      <c r="F444" s="20" t="inlineStr">
        <is>
          <t>Nut Butter</t>
        </is>
      </c>
      <c r="G444" s="22" t="n">
        <v>1457</v>
      </c>
      <c r="H444" s="23" t="n">
        <v>55.6</v>
      </c>
      <c r="I444" s="23" t="n">
        <v>81009.2</v>
      </c>
      <c r="J444" s="23" t="n">
        <v>55948.8</v>
      </c>
      <c r="K444">
        <f>IF(OR(COUNTIF($A$5:A444,A444)&gt;1,G444&lt;0,C444="",B444&lt;'Work 1'!$C$6,B444&gt;'Work 1'!$C$7,H444&gt;'Work 1'!$C$8*AVERAGEIF($F$5:$F$1014,F444,$H$5:$H$1014)),"Excl",IF(B444&gt;='Work 1'!$C$5,"LTM","Prior"))</f>
        <v/>
      </c>
      <c r="L444">
        <f>I444-J444</f>
        <v/>
      </c>
    </row>
    <row r="445" ht="14.25" customHeight="1" s="54">
      <c r="A445" s="20" t="inlineStr">
        <is>
          <t>BH-40439</t>
        </is>
      </c>
      <c r="B445" s="21" t="n">
        <v>45778</v>
      </c>
      <c r="C445" s="20" t="inlineStr">
        <is>
          <t>C04</t>
        </is>
      </c>
      <c r="D445" s="20" t="inlineStr">
        <is>
          <t>Harvest Lane Co-op</t>
        </is>
      </c>
      <c r="E445" s="20" t="inlineStr">
        <is>
          <t>Grocery</t>
        </is>
      </c>
      <c r="F445" s="20" t="inlineStr">
        <is>
          <t>Snack Bars</t>
        </is>
      </c>
      <c r="G445" s="22" t="n">
        <v>1824</v>
      </c>
      <c r="H445" s="23" t="n">
        <v>32.4</v>
      </c>
      <c r="I445" s="23" t="n">
        <v>59097.6</v>
      </c>
      <c r="J445" s="23" t="n">
        <v>36115.2</v>
      </c>
      <c r="K445">
        <f>IF(OR(COUNTIF($A$5:A445,A445)&gt;1,G445&lt;0,C445="",B445&lt;'Work 1'!$C$6,B445&gt;'Work 1'!$C$7,H445&gt;'Work 1'!$C$8*AVERAGEIF($F$5:$F$1014,F445,$H$5:$H$1014)),"Excl",IF(B445&gt;='Work 1'!$C$5,"LTM","Prior"))</f>
        <v/>
      </c>
      <c r="L445">
        <f>I445-J445</f>
        <v/>
      </c>
    </row>
    <row r="446" ht="14.25" customHeight="1" s="54">
      <c r="A446" s="20" t="inlineStr">
        <is>
          <t>BH-40440</t>
        </is>
      </c>
      <c r="B446" s="21" t="n">
        <v>45778</v>
      </c>
      <c r="C446" s="20" t="inlineStr">
        <is>
          <t>C05</t>
        </is>
      </c>
      <c r="D446" s="20" t="inlineStr">
        <is>
          <t>Pioneer Foods Distribution</t>
        </is>
      </c>
      <c r="E446" s="20" t="inlineStr">
        <is>
          <t>Grocery</t>
        </is>
      </c>
      <c r="F446" s="20" t="inlineStr">
        <is>
          <t>Granola</t>
        </is>
      </c>
      <c r="G446" s="22" t="n">
        <v>3462</v>
      </c>
      <c r="H446" s="23" t="n">
        <v>37.62</v>
      </c>
      <c r="I446" s="23" t="n">
        <v>130240.44</v>
      </c>
      <c r="J446" s="23" t="n">
        <v>90358.2</v>
      </c>
      <c r="K446">
        <f>IF(OR(COUNTIF($A$5:A446,A446)&gt;1,G446&lt;0,C446="",B446&lt;'Work 1'!$C$6,B446&gt;'Work 1'!$C$7,H446&gt;'Work 1'!$C$8*AVERAGEIF($F$5:$F$1014,F446,$H$5:$H$1014)),"Excl",IF(B446&gt;='Work 1'!$C$5,"LTM","Prior"))</f>
        <v/>
      </c>
      <c r="L446">
        <f>I446-J446</f>
        <v/>
      </c>
    </row>
    <row r="447" ht="14.25" customHeight="1" s="54">
      <c r="A447" s="20" t="inlineStr">
        <is>
          <t>BH-40441</t>
        </is>
      </c>
      <c r="B447" s="21" t="n">
        <v>45778</v>
      </c>
      <c r="C447" s="20" t="inlineStr">
        <is>
          <t>C05</t>
        </is>
      </c>
      <c r="D447" s="20" t="inlineStr">
        <is>
          <t>Pioneer Foods Distribution</t>
        </is>
      </c>
      <c r="E447" s="20" t="inlineStr">
        <is>
          <t>Grocery</t>
        </is>
      </c>
      <c r="F447" s="20" t="inlineStr">
        <is>
          <t>Nut Butter</t>
        </is>
      </c>
      <c r="G447" s="22" t="n">
        <v>1932</v>
      </c>
      <c r="H447" s="23" t="n">
        <v>50.04</v>
      </c>
      <c r="I447" s="23" t="n">
        <v>96677.28</v>
      </c>
      <c r="J447" s="23" t="n">
        <v>74188.8</v>
      </c>
      <c r="K447">
        <f>IF(OR(COUNTIF($A$5:A447,A447)&gt;1,G447&lt;0,C447="",B447&lt;'Work 1'!$C$6,B447&gt;'Work 1'!$C$7,H447&gt;'Work 1'!$C$8*AVERAGEIF($F$5:$F$1014,F447,$H$5:$H$1014)),"Excl",IF(B447&gt;='Work 1'!$C$5,"LTM","Prior"))</f>
        <v/>
      </c>
      <c r="L447">
        <f>I447-J447</f>
        <v/>
      </c>
    </row>
    <row r="448" ht="14.25" customHeight="1" s="54">
      <c r="A448" s="20" t="inlineStr">
        <is>
          <t>BH-40442</t>
        </is>
      </c>
      <c r="B448" s="21" t="n">
        <v>45778</v>
      </c>
      <c r="C448" s="20" t="inlineStr">
        <is>
          <t>C05</t>
        </is>
      </c>
      <c r="D448" s="20" t="inlineStr">
        <is>
          <t>Pioneer Foods Distribution</t>
        </is>
      </c>
      <c r="E448" s="20" t="inlineStr">
        <is>
          <t>Grocery</t>
        </is>
      </c>
      <c r="F448" s="20" t="inlineStr">
        <is>
          <t>Snack Bars</t>
        </is>
      </c>
      <c r="G448" s="22" t="n">
        <v>2869</v>
      </c>
      <c r="H448" s="23" t="n">
        <v>29.16</v>
      </c>
      <c r="I448" s="23" t="n">
        <v>83660.03999999999</v>
      </c>
      <c r="J448" s="23" t="n">
        <v>56806.2</v>
      </c>
      <c r="K448">
        <f>IF(OR(COUNTIF($A$5:A448,A448)&gt;1,G448&lt;0,C448="",B448&lt;'Work 1'!$C$6,B448&gt;'Work 1'!$C$7,H448&gt;'Work 1'!$C$8*AVERAGEIF($F$5:$F$1014,F448,$H$5:$H$1014)),"Excl",IF(B448&gt;='Work 1'!$C$5,"LTM","Prior"))</f>
        <v/>
      </c>
      <c r="L448">
        <f>I448-J448</f>
        <v/>
      </c>
    </row>
    <row r="449" ht="14.25" customHeight="1" s="54">
      <c r="A449" s="20" t="inlineStr">
        <is>
          <t>BH-40443</t>
        </is>
      </c>
      <c r="B449" s="21" t="n">
        <v>45778</v>
      </c>
      <c r="C449" s="20" t="inlineStr">
        <is>
          <t>C06</t>
        </is>
      </c>
      <c r="D449" s="20" t="inlineStr">
        <is>
          <t>Summit Club Stores</t>
        </is>
      </c>
      <c r="E449" s="20" t="inlineStr">
        <is>
          <t>Club</t>
        </is>
      </c>
      <c r="F449" s="20" t="inlineStr">
        <is>
          <t>Granola</t>
        </is>
      </c>
      <c r="G449" s="22" t="n">
        <v>4883</v>
      </c>
      <c r="H449" s="23" t="n">
        <v>35.9</v>
      </c>
      <c r="I449" s="23" t="n">
        <v>175299.7</v>
      </c>
      <c r="J449" s="23" t="n">
        <v>127446.3</v>
      </c>
      <c r="K449">
        <f>IF(OR(COUNTIF($A$5:A449,A449)&gt;1,G449&lt;0,C449="",B449&lt;'Work 1'!$C$6,B449&gt;'Work 1'!$C$7,H449&gt;'Work 1'!$C$8*AVERAGEIF($F$5:$F$1014,F449,$H$5:$H$1014)),"Excl",IF(B449&gt;='Work 1'!$C$5,"LTM","Prior"))</f>
        <v/>
      </c>
      <c r="L449">
        <f>I449-J449</f>
        <v/>
      </c>
    </row>
    <row r="450" ht="14.25" customHeight="1" s="54">
      <c r="A450" s="20" t="inlineStr">
        <is>
          <t>BH-40444</t>
        </is>
      </c>
      <c r="B450" s="21" t="n">
        <v>45778</v>
      </c>
      <c r="C450" s="20" t="inlineStr">
        <is>
          <t>C06</t>
        </is>
      </c>
      <c r="D450" s="20" t="inlineStr">
        <is>
          <t>Summit Club Stores</t>
        </is>
      </c>
      <c r="E450" s="20" t="inlineStr">
        <is>
          <t>Club</t>
        </is>
      </c>
      <c r="F450" s="20" t="inlineStr">
        <is>
          <t>Nut Butter</t>
        </is>
      </c>
      <c r="G450" s="22" t="n">
        <v>2558</v>
      </c>
      <c r="H450" s="23" t="n">
        <v>47.8</v>
      </c>
      <c r="I450" s="23" t="n">
        <v>122272.4</v>
      </c>
      <c r="J450" s="23" t="n">
        <v>98227.2</v>
      </c>
      <c r="K450">
        <f>IF(OR(COUNTIF($A$5:A450,A450)&gt;1,G450&lt;0,C450="",B450&lt;'Work 1'!$C$6,B450&gt;'Work 1'!$C$7,H450&gt;'Work 1'!$C$8*AVERAGEIF($F$5:$F$1014,F450,$H$5:$H$1014)),"Excl",IF(B450&gt;='Work 1'!$C$5,"LTM","Prior"))</f>
        <v/>
      </c>
      <c r="L450">
        <f>I450-J450</f>
        <v/>
      </c>
    </row>
    <row r="451" ht="14.25" customHeight="1" s="54">
      <c r="A451" s="20" t="inlineStr">
        <is>
          <t>BH-40445</t>
        </is>
      </c>
      <c r="B451" s="21" t="n">
        <v>45778</v>
      </c>
      <c r="C451" s="20" t="inlineStr">
        <is>
          <t>C07</t>
        </is>
      </c>
      <c r="D451" s="20" t="inlineStr">
        <is>
          <t>Bramble Hill Online Store</t>
        </is>
      </c>
      <c r="E451" s="20" t="inlineStr">
        <is>
          <t>Online</t>
        </is>
      </c>
      <c r="F451" s="20" t="inlineStr">
        <is>
          <t>Granola</t>
        </is>
      </c>
      <c r="G451" s="22" t="n">
        <v>3156</v>
      </c>
      <c r="H451" s="23" t="n">
        <v>47.5</v>
      </c>
      <c r="I451" s="23" t="n">
        <v>149910</v>
      </c>
      <c r="J451" s="23" t="n">
        <v>82371.60000000001</v>
      </c>
      <c r="K451">
        <f>IF(OR(COUNTIF($A$5:A451,A451)&gt;1,G451&lt;0,C451="",B451&lt;'Work 1'!$C$6,B451&gt;'Work 1'!$C$7,H451&gt;'Work 1'!$C$8*AVERAGEIF($F$5:$F$1014,F451,$H$5:$H$1014)),"Excl",IF(B451&gt;='Work 1'!$C$5,"LTM","Prior"))</f>
        <v/>
      </c>
      <c r="L451">
        <f>I451-J451</f>
        <v/>
      </c>
    </row>
    <row r="452" ht="14.25" customHeight="1" s="54">
      <c r="A452" s="20" t="inlineStr">
        <is>
          <t>BH-40446</t>
        </is>
      </c>
      <c r="B452" s="21" t="n">
        <v>45778</v>
      </c>
      <c r="C452" s="20" t="inlineStr">
        <is>
          <t>C07</t>
        </is>
      </c>
      <c r="D452" s="20" t="inlineStr">
        <is>
          <t>Bramble Hill Online Store</t>
        </is>
      </c>
      <c r="E452" s="20" t="inlineStr">
        <is>
          <t>Online</t>
        </is>
      </c>
      <c r="F452" s="20" t="inlineStr">
        <is>
          <t>Nut Butter</t>
        </is>
      </c>
      <c r="G452" s="22" t="n">
        <v>1785</v>
      </c>
      <c r="H452" s="23" t="n">
        <v>61.9</v>
      </c>
      <c r="I452" s="23" t="n">
        <v>110491.5</v>
      </c>
      <c r="J452" s="23" t="n">
        <v>68544</v>
      </c>
      <c r="K452">
        <f>IF(OR(COUNTIF($A$5:A452,A452)&gt;1,G452&lt;0,C452="",B452&lt;'Work 1'!$C$6,B452&gt;'Work 1'!$C$7,H452&gt;'Work 1'!$C$8*AVERAGEIF($F$5:$F$1014,F452,$H$5:$H$1014)),"Excl",IF(B452&gt;='Work 1'!$C$5,"LTM","Prior"))</f>
        <v/>
      </c>
      <c r="L452">
        <f>I452-J452</f>
        <v/>
      </c>
    </row>
    <row r="453" ht="14.25" customHeight="1" s="54">
      <c r="A453" s="20" t="inlineStr">
        <is>
          <t>BH-40447</t>
        </is>
      </c>
      <c r="B453" s="21" t="n">
        <v>45778</v>
      </c>
      <c r="C453" s="20" t="inlineStr">
        <is>
          <t>C07</t>
        </is>
      </c>
      <c r="D453" s="20" t="inlineStr">
        <is>
          <t>Bramble Hill Online Store</t>
        </is>
      </c>
      <c r="E453" s="20" t="inlineStr">
        <is>
          <t>Online</t>
        </is>
      </c>
      <c r="F453" s="20" t="inlineStr">
        <is>
          <t>Snack Bars</t>
        </is>
      </c>
      <c r="G453" s="22" t="n">
        <v>2478</v>
      </c>
      <c r="H453" s="23" t="n">
        <v>37.8</v>
      </c>
      <c r="I453" s="23" t="n">
        <v>93668.39999999999</v>
      </c>
      <c r="J453" s="23" t="n">
        <v>49064.4</v>
      </c>
      <c r="K453">
        <f>IF(OR(COUNTIF($A$5:A453,A453)&gt;1,G453&lt;0,C453="",B453&lt;'Work 1'!$C$6,B453&gt;'Work 1'!$C$7,H453&gt;'Work 1'!$C$8*AVERAGEIF($F$5:$F$1014,F453,$H$5:$H$1014)),"Excl",IF(B453&gt;='Work 1'!$C$5,"LTM","Prior"))</f>
        <v/>
      </c>
      <c r="L453">
        <f>I453-J453</f>
        <v/>
      </c>
    </row>
    <row r="454" ht="14.25" customHeight="1" s="54">
      <c r="A454" s="20" t="inlineStr">
        <is>
          <t>BH-40448</t>
        </is>
      </c>
      <c r="B454" s="21" t="n">
        <v>45778</v>
      </c>
      <c r="C454" s="20" t="inlineStr">
        <is>
          <t>C08</t>
        </is>
      </c>
      <c r="D454" s="20" t="inlineStr">
        <is>
          <t>Online Marketplace</t>
        </is>
      </c>
      <c r="E454" s="20" t="inlineStr">
        <is>
          <t>Online</t>
        </is>
      </c>
      <c r="F454" s="20" t="inlineStr">
        <is>
          <t>Granola</t>
        </is>
      </c>
      <c r="G454" s="22" t="n">
        <v>3361</v>
      </c>
      <c r="H454" s="23" t="n">
        <v>41.8</v>
      </c>
      <c r="I454" s="23" t="n">
        <v>140489.8</v>
      </c>
      <c r="J454" s="23" t="n">
        <v>87722.10000000001</v>
      </c>
      <c r="K454">
        <f>IF(OR(COUNTIF($A$5:A454,A454)&gt;1,G454&lt;0,C454="",B454&lt;'Work 1'!$C$6,B454&gt;'Work 1'!$C$7,H454&gt;'Work 1'!$C$8*AVERAGEIF($F$5:$F$1014,F454,$H$5:$H$1014)),"Excl",IF(B454&gt;='Work 1'!$C$5,"LTM","Prior"))</f>
        <v/>
      </c>
      <c r="L454">
        <f>I454-J454</f>
        <v/>
      </c>
    </row>
    <row r="455" ht="14.25" customHeight="1" s="54">
      <c r="A455" s="20" t="inlineStr">
        <is>
          <t>BH-40449</t>
        </is>
      </c>
      <c r="B455" s="21" t="n">
        <v>45778</v>
      </c>
      <c r="C455" s="20" t="inlineStr">
        <is>
          <t>C08</t>
        </is>
      </c>
      <c r="D455" s="20" t="inlineStr">
        <is>
          <t>Online Marketplace</t>
        </is>
      </c>
      <c r="E455" s="20" t="inlineStr">
        <is>
          <t>Online</t>
        </is>
      </c>
      <c r="F455" s="20" t="inlineStr">
        <is>
          <t>Nut Butter</t>
        </is>
      </c>
      <c r="G455" s="22" t="n">
        <v>1788</v>
      </c>
      <c r="H455" s="23" t="n">
        <v>54.47</v>
      </c>
      <c r="I455" s="23" t="n">
        <v>97392.36</v>
      </c>
      <c r="J455" s="23" t="n">
        <v>68659.2</v>
      </c>
      <c r="K455">
        <f>IF(OR(COUNTIF($A$5:A455,A455)&gt;1,G455&lt;0,C455="",B455&lt;'Work 1'!$C$6,B455&gt;'Work 1'!$C$7,H455&gt;'Work 1'!$C$8*AVERAGEIF($F$5:$F$1014,F455,$H$5:$H$1014)),"Excl",IF(B455&gt;='Work 1'!$C$5,"LTM","Prior"))</f>
        <v/>
      </c>
      <c r="L455">
        <f>I455-J455</f>
        <v/>
      </c>
    </row>
    <row r="456" ht="14.25" customHeight="1" s="54">
      <c r="A456" s="20" t="inlineStr">
        <is>
          <t>BH-40450</t>
        </is>
      </c>
      <c r="B456" s="21" t="n">
        <v>45778</v>
      </c>
      <c r="C456" s="20" t="inlineStr">
        <is>
          <t>C08</t>
        </is>
      </c>
      <c r="D456" s="20" t="inlineStr">
        <is>
          <t>Online Marketplace</t>
        </is>
      </c>
      <c r="E456" s="20" t="inlineStr">
        <is>
          <t>Online</t>
        </is>
      </c>
      <c r="F456" s="20" t="inlineStr">
        <is>
          <t>Snack Bars</t>
        </is>
      </c>
      <c r="G456" s="22" t="n">
        <v>2760</v>
      </c>
      <c r="H456" s="23" t="n">
        <v>33.26</v>
      </c>
      <c r="I456" s="23" t="n">
        <v>91797.60000000001</v>
      </c>
      <c r="J456" s="23" t="n">
        <v>54648</v>
      </c>
      <c r="K456">
        <f>IF(OR(COUNTIF($A$5:A456,A456)&gt;1,G456&lt;0,C456="",B456&lt;'Work 1'!$C$6,B456&gt;'Work 1'!$C$7,H456&gt;'Work 1'!$C$8*AVERAGEIF($F$5:$F$1014,F456,$H$5:$H$1014)),"Excl",IF(B456&gt;='Work 1'!$C$5,"LTM","Prior"))</f>
        <v/>
      </c>
      <c r="L456">
        <f>I456-J456</f>
        <v/>
      </c>
    </row>
    <row r="457" ht="14.25" customHeight="1" s="54">
      <c r="A457" s="20" t="inlineStr">
        <is>
          <t>BH-40451</t>
        </is>
      </c>
      <c r="B457" s="21" t="n">
        <v>45778</v>
      </c>
      <c r="C457" s="20" t="inlineStr">
        <is>
          <t>C09</t>
        </is>
      </c>
      <c r="D457" s="20" t="inlineStr">
        <is>
          <t>Maple Ridge Grocers</t>
        </is>
      </c>
      <c r="E457" s="20" t="inlineStr">
        <is>
          <t>Grocery</t>
        </is>
      </c>
      <c r="F457" s="20" t="inlineStr">
        <is>
          <t>Granola</t>
        </is>
      </c>
      <c r="G457" s="22" t="n">
        <v>1507</v>
      </c>
      <c r="H457" s="23" t="n">
        <v>41.8</v>
      </c>
      <c r="I457" s="23" t="n">
        <v>62992.6</v>
      </c>
      <c r="J457" s="23" t="n">
        <v>39332.7</v>
      </c>
      <c r="K457">
        <f>IF(OR(COUNTIF($A$5:A457,A457)&gt;1,G457&lt;0,C457="",B457&lt;'Work 1'!$C$6,B457&gt;'Work 1'!$C$7,H457&gt;'Work 1'!$C$8*AVERAGEIF($F$5:$F$1014,F457,$H$5:$H$1014)),"Excl",IF(B457&gt;='Work 1'!$C$5,"LTM","Prior"))</f>
        <v/>
      </c>
      <c r="L457">
        <f>I457-J457</f>
        <v/>
      </c>
    </row>
    <row r="458" ht="14.25" customHeight="1" s="54">
      <c r="A458" s="20" t="inlineStr">
        <is>
          <t>BH-40452</t>
        </is>
      </c>
      <c r="B458" s="21" t="n">
        <v>45778</v>
      </c>
      <c r="C458" s="20" t="inlineStr">
        <is>
          <t>C09</t>
        </is>
      </c>
      <c r="D458" s="20" t="inlineStr">
        <is>
          <t>Maple Ridge Grocers</t>
        </is>
      </c>
      <c r="E458" s="20" t="inlineStr">
        <is>
          <t>Grocery</t>
        </is>
      </c>
      <c r="F458" s="20" t="inlineStr">
        <is>
          <t>Snack Bars</t>
        </is>
      </c>
      <c r="G458" s="22" t="n">
        <v>1206</v>
      </c>
      <c r="H458" s="23" t="n">
        <v>32.4</v>
      </c>
      <c r="I458" s="23" t="n">
        <v>39074.4</v>
      </c>
      <c r="J458" s="23" t="n">
        <v>23878.8</v>
      </c>
      <c r="K458">
        <f>IF(OR(COUNTIF($A$5:A458,A458)&gt;1,G458&lt;0,C458="",B458&lt;'Work 1'!$C$6,B458&gt;'Work 1'!$C$7,H458&gt;'Work 1'!$C$8*AVERAGEIF($F$5:$F$1014,F458,$H$5:$H$1014)),"Excl",IF(B458&gt;='Work 1'!$C$5,"LTM","Prior"))</f>
        <v/>
      </c>
      <c r="L458">
        <f>I458-J458</f>
        <v/>
      </c>
    </row>
    <row r="459" ht="14.25" customHeight="1" s="54">
      <c r="A459" s="20" t="inlineStr">
        <is>
          <t>BH-40453</t>
        </is>
      </c>
      <c r="B459" s="21" t="n">
        <v>45778</v>
      </c>
      <c r="C459" s="20" t="inlineStr">
        <is>
          <t>C10</t>
        </is>
      </c>
      <c r="D459" s="20" t="inlineStr">
        <is>
          <t>Lakeshore Foods</t>
        </is>
      </c>
      <c r="E459" s="20" t="inlineStr">
        <is>
          <t>Grocery</t>
        </is>
      </c>
      <c r="F459" s="20" t="inlineStr">
        <is>
          <t>Granola</t>
        </is>
      </c>
      <c r="G459" s="22" t="n">
        <v>1342</v>
      </c>
      <c r="H459" s="23" t="n">
        <v>41.8</v>
      </c>
      <c r="I459" s="23" t="n">
        <v>56095.6</v>
      </c>
      <c r="J459" s="23" t="n">
        <v>35026.2</v>
      </c>
      <c r="K459">
        <f>IF(OR(COUNTIF($A$5:A459,A459)&gt;1,G459&lt;0,C459="",B459&lt;'Work 1'!$C$6,B459&gt;'Work 1'!$C$7,H459&gt;'Work 1'!$C$8*AVERAGEIF($F$5:$F$1014,F459,$H$5:$H$1014)),"Excl",IF(B459&gt;='Work 1'!$C$5,"LTM","Prior"))</f>
        <v/>
      </c>
      <c r="L459">
        <f>I459-J459</f>
        <v/>
      </c>
    </row>
    <row r="460" ht="14.25" customHeight="1" s="54">
      <c r="A460" s="20" t="inlineStr">
        <is>
          <t>BH-40454</t>
        </is>
      </c>
      <c r="B460" s="21" t="n">
        <v>45778</v>
      </c>
      <c r="C460" s="20" t="inlineStr">
        <is>
          <t>C10</t>
        </is>
      </c>
      <c r="D460" s="20" t="inlineStr">
        <is>
          <t>Lakeshore Foods</t>
        </is>
      </c>
      <c r="E460" s="20" t="inlineStr">
        <is>
          <t>Grocery</t>
        </is>
      </c>
      <c r="F460" s="20" t="inlineStr">
        <is>
          <t>Nut Butter</t>
        </is>
      </c>
      <c r="G460" s="22" t="n">
        <v>581</v>
      </c>
      <c r="H460" s="23" t="n">
        <v>55.6</v>
      </c>
      <c r="I460" s="23" t="n">
        <v>32303.6</v>
      </c>
      <c r="J460" s="23" t="n">
        <v>22310.4</v>
      </c>
      <c r="K460">
        <f>IF(OR(COUNTIF($A$5:A460,A460)&gt;1,G460&lt;0,C460="",B460&lt;'Work 1'!$C$6,B460&gt;'Work 1'!$C$7,H460&gt;'Work 1'!$C$8*AVERAGEIF($F$5:$F$1014,F460,$H$5:$H$1014)),"Excl",IF(B460&gt;='Work 1'!$C$5,"LTM","Prior"))</f>
        <v/>
      </c>
      <c r="L460">
        <f>I460-J460</f>
        <v/>
      </c>
    </row>
    <row r="461" ht="14.25" customHeight="1" s="54">
      <c r="A461" s="20" t="inlineStr">
        <is>
          <t>BH-40455</t>
        </is>
      </c>
      <c r="B461" s="21" t="n">
        <v>45778</v>
      </c>
      <c r="C461" s="20" t="inlineStr">
        <is>
          <t>C11</t>
        </is>
      </c>
      <c r="D461" s="20" t="inlineStr">
        <is>
          <t>Copper Valley Market</t>
        </is>
      </c>
      <c r="E461" s="20" t="inlineStr">
        <is>
          <t>Grocery</t>
        </is>
      </c>
      <c r="F461" s="20" t="inlineStr">
        <is>
          <t>Granola</t>
        </is>
      </c>
      <c r="G461" s="22" t="n">
        <v>1203</v>
      </c>
      <c r="H461" s="23" t="n">
        <v>41.8</v>
      </c>
      <c r="I461" s="23" t="n">
        <v>50285.4</v>
      </c>
      <c r="J461" s="23" t="n">
        <v>31398.3</v>
      </c>
      <c r="K461">
        <f>IF(OR(COUNTIF($A$5:A461,A461)&gt;1,G461&lt;0,C461="",B461&lt;'Work 1'!$C$6,B461&gt;'Work 1'!$C$7,H461&gt;'Work 1'!$C$8*AVERAGEIF($F$5:$F$1014,F461,$H$5:$H$1014)),"Excl",IF(B461&gt;='Work 1'!$C$5,"LTM","Prior"))</f>
        <v/>
      </c>
      <c r="L461">
        <f>I461-J461</f>
        <v/>
      </c>
    </row>
    <row r="462" ht="14.25" customHeight="1" s="54">
      <c r="A462" s="20" t="inlineStr">
        <is>
          <t>BH-40456</t>
        </is>
      </c>
      <c r="B462" s="21" t="n">
        <v>45778</v>
      </c>
      <c r="C462" s="20" t="inlineStr">
        <is>
          <t>C11</t>
        </is>
      </c>
      <c r="D462" s="20" t="inlineStr">
        <is>
          <t>Copper Valley Market</t>
        </is>
      </c>
      <c r="E462" s="20" t="inlineStr">
        <is>
          <t>Grocery</t>
        </is>
      </c>
      <c r="F462" s="20" t="inlineStr">
        <is>
          <t>Snack Bars</t>
        </is>
      </c>
      <c r="G462" s="22" t="n">
        <v>1267</v>
      </c>
      <c r="H462" s="23" t="n">
        <v>32.4</v>
      </c>
      <c r="I462" s="23" t="n">
        <v>41050.8</v>
      </c>
      <c r="J462" s="23" t="n">
        <v>25086.6</v>
      </c>
      <c r="K462">
        <f>IF(OR(COUNTIF($A$5:A462,A462)&gt;1,G462&lt;0,C462="",B462&lt;'Work 1'!$C$6,B462&gt;'Work 1'!$C$7,H462&gt;'Work 1'!$C$8*AVERAGEIF($F$5:$F$1014,F462,$H$5:$H$1014)),"Excl",IF(B462&gt;='Work 1'!$C$5,"LTM","Prior"))</f>
        <v/>
      </c>
      <c r="L462">
        <f>I462-J462</f>
        <v/>
      </c>
    </row>
    <row r="463" ht="14.25" customHeight="1" s="54">
      <c r="A463" s="20" t="inlineStr">
        <is>
          <t>BH-40457</t>
        </is>
      </c>
      <c r="B463" s="21" t="n">
        <v>45778</v>
      </c>
      <c r="C463" s="20" t="inlineStr">
        <is>
          <t>C12</t>
        </is>
      </c>
      <c r="D463" s="20" t="inlineStr">
        <is>
          <t>Riverbend Grocery</t>
        </is>
      </c>
      <c r="E463" s="20" t="inlineStr">
        <is>
          <t>Grocery</t>
        </is>
      </c>
      <c r="F463" s="20" t="inlineStr">
        <is>
          <t>Granola</t>
        </is>
      </c>
      <c r="G463" s="22" t="n">
        <v>1777</v>
      </c>
      <c r="H463" s="23" t="n">
        <v>41.8</v>
      </c>
      <c r="I463" s="23" t="n">
        <v>74278.60000000001</v>
      </c>
      <c r="J463" s="23" t="n">
        <v>46379.7</v>
      </c>
      <c r="K463">
        <f>IF(OR(COUNTIF($A$5:A463,A463)&gt;1,G463&lt;0,C463="",B463&lt;'Work 1'!$C$6,B463&gt;'Work 1'!$C$7,H463&gt;'Work 1'!$C$8*AVERAGEIF($F$5:$F$1014,F463,$H$5:$H$1014)),"Excl",IF(B463&gt;='Work 1'!$C$5,"LTM","Prior"))</f>
        <v/>
      </c>
      <c r="L463">
        <f>I463-J463</f>
        <v/>
      </c>
    </row>
    <row r="464" ht="14.25" customHeight="1" s="54">
      <c r="A464" s="20" t="inlineStr">
        <is>
          <t>BH-40458</t>
        </is>
      </c>
      <c r="B464" s="21" t="n">
        <v>45778</v>
      </c>
      <c r="C464" s="20" t="inlineStr">
        <is>
          <t>C12</t>
        </is>
      </c>
      <c r="D464" s="20" t="inlineStr">
        <is>
          <t>Riverbend Grocery</t>
        </is>
      </c>
      <c r="E464" s="20" t="inlineStr">
        <is>
          <t>Grocery</t>
        </is>
      </c>
      <c r="F464" s="20" t="inlineStr">
        <is>
          <t>Nut Butter</t>
        </is>
      </c>
      <c r="G464" s="22" t="n">
        <v>740</v>
      </c>
      <c r="H464" s="23" t="n">
        <v>55.6</v>
      </c>
      <c r="I464" s="23" t="n">
        <v>41144</v>
      </c>
      <c r="J464" s="23" t="n">
        <v>28416</v>
      </c>
      <c r="K464">
        <f>IF(OR(COUNTIF($A$5:A464,A464)&gt;1,G464&lt;0,C464="",B464&lt;'Work 1'!$C$6,B464&gt;'Work 1'!$C$7,H464&gt;'Work 1'!$C$8*AVERAGEIF($F$5:$F$1014,F464,$H$5:$H$1014)),"Excl",IF(B464&gt;='Work 1'!$C$5,"LTM","Prior"))</f>
        <v/>
      </c>
      <c r="L464">
        <f>I464-J464</f>
        <v/>
      </c>
    </row>
    <row r="465" ht="14.25" customHeight="1" s="54">
      <c r="A465" s="20" t="inlineStr">
        <is>
          <t>BH-40459</t>
        </is>
      </c>
      <c r="B465" s="21" t="n">
        <v>45778</v>
      </c>
      <c r="C465" s="20" t="inlineStr">
        <is>
          <t>C13</t>
        </is>
      </c>
      <c r="D465" s="20" t="inlineStr">
        <is>
          <t>Sunfield Markets</t>
        </is>
      </c>
      <c r="E465" s="20" t="inlineStr">
        <is>
          <t>Grocery</t>
        </is>
      </c>
      <c r="F465" s="20" t="inlineStr">
        <is>
          <t>Granola</t>
        </is>
      </c>
      <c r="G465" s="22" t="n">
        <v>973</v>
      </c>
      <c r="H465" s="23" t="n">
        <v>41.8</v>
      </c>
      <c r="I465" s="23" t="n">
        <v>40671.4</v>
      </c>
      <c r="J465" s="23" t="n">
        <v>25395.3</v>
      </c>
      <c r="K465">
        <f>IF(OR(COUNTIF($A$5:A465,A465)&gt;1,G465&lt;0,C465="",B465&lt;'Work 1'!$C$6,B465&gt;'Work 1'!$C$7,H465&gt;'Work 1'!$C$8*AVERAGEIF($F$5:$F$1014,F465,$H$5:$H$1014)),"Excl",IF(B465&gt;='Work 1'!$C$5,"LTM","Prior"))</f>
        <v/>
      </c>
      <c r="L465">
        <f>I465-J465</f>
        <v/>
      </c>
    </row>
    <row r="466" ht="14.25" customHeight="1" s="54">
      <c r="A466" s="20" t="inlineStr">
        <is>
          <t>BH-40460</t>
        </is>
      </c>
      <c r="B466" s="21" t="n">
        <v>45778</v>
      </c>
      <c r="C466" s="20" t="inlineStr">
        <is>
          <t>C13</t>
        </is>
      </c>
      <c r="D466" s="20" t="inlineStr">
        <is>
          <t>Sunfield Markets</t>
        </is>
      </c>
      <c r="E466" s="20" t="inlineStr">
        <is>
          <t>Grocery</t>
        </is>
      </c>
      <c r="F466" s="20" t="inlineStr">
        <is>
          <t>Snack Bars</t>
        </is>
      </c>
      <c r="G466" s="22" t="n">
        <v>970</v>
      </c>
      <c r="H466" s="23" t="n">
        <v>32.4</v>
      </c>
      <c r="I466" s="23" t="n">
        <v>31428</v>
      </c>
      <c r="J466" s="23" t="n">
        <v>19206</v>
      </c>
      <c r="K466">
        <f>IF(OR(COUNTIF($A$5:A466,A466)&gt;1,G466&lt;0,C466="",B466&lt;'Work 1'!$C$6,B466&gt;'Work 1'!$C$7,H466&gt;'Work 1'!$C$8*AVERAGEIF($F$5:$F$1014,F466,$H$5:$H$1014)),"Excl",IF(B466&gt;='Work 1'!$C$5,"LTM","Prior"))</f>
        <v/>
      </c>
      <c r="L466">
        <f>I466-J466</f>
        <v/>
      </c>
    </row>
    <row r="467" ht="14.25" customHeight="1" s="54">
      <c r="A467" s="20" t="inlineStr">
        <is>
          <t>BH-40461</t>
        </is>
      </c>
      <c r="B467" s="21" t="n">
        <v>45778</v>
      </c>
      <c r="C467" s="20" t="inlineStr">
        <is>
          <t>C14</t>
        </is>
      </c>
      <c r="D467" s="20" t="inlineStr">
        <is>
          <t>Oak Hollow Foods</t>
        </is>
      </c>
      <c r="E467" s="20" t="inlineStr">
        <is>
          <t>Grocery</t>
        </is>
      </c>
      <c r="F467" s="20" t="inlineStr">
        <is>
          <t>Granola</t>
        </is>
      </c>
      <c r="G467" s="22" t="n">
        <v>1168</v>
      </c>
      <c r="H467" s="23" t="n">
        <v>41.8</v>
      </c>
      <c r="I467" s="23" t="n">
        <v>48822.4</v>
      </c>
      <c r="J467" s="23" t="n">
        <v>30484.8</v>
      </c>
      <c r="K467">
        <f>IF(OR(COUNTIF($A$5:A467,A467)&gt;1,G467&lt;0,C467="",B467&lt;'Work 1'!$C$6,B467&gt;'Work 1'!$C$7,H467&gt;'Work 1'!$C$8*AVERAGEIF($F$5:$F$1014,F467,$H$5:$H$1014)),"Excl",IF(B467&gt;='Work 1'!$C$5,"LTM","Prior"))</f>
        <v/>
      </c>
      <c r="L467">
        <f>I467-J467</f>
        <v/>
      </c>
    </row>
    <row r="468" ht="14.25" customHeight="1" s="54">
      <c r="A468" s="20" t="inlineStr">
        <is>
          <t>BH-40462</t>
        </is>
      </c>
      <c r="B468" s="21" t="n">
        <v>45778</v>
      </c>
      <c r="C468" s="20" t="inlineStr">
        <is>
          <t>C14</t>
        </is>
      </c>
      <c r="D468" s="20" t="inlineStr">
        <is>
          <t>Oak Hollow Foods</t>
        </is>
      </c>
      <c r="E468" s="20" t="inlineStr">
        <is>
          <t>Grocery</t>
        </is>
      </c>
      <c r="F468" s="20" t="inlineStr">
        <is>
          <t>Nut Butter</t>
        </is>
      </c>
      <c r="G468" s="22" t="n">
        <v>436</v>
      </c>
      <c r="H468" s="23" t="n">
        <v>55.6</v>
      </c>
      <c r="I468" s="23" t="n">
        <v>24241.6</v>
      </c>
      <c r="J468" s="23" t="n">
        <v>16742.4</v>
      </c>
      <c r="K468">
        <f>IF(OR(COUNTIF($A$5:A468,A468)&gt;1,G468&lt;0,C468="",B468&lt;'Work 1'!$C$6,B468&gt;'Work 1'!$C$7,H468&gt;'Work 1'!$C$8*AVERAGEIF($F$5:$F$1014,F468,$H$5:$H$1014)),"Excl",IF(B468&gt;='Work 1'!$C$5,"LTM","Prior"))</f>
        <v/>
      </c>
      <c r="L468">
        <f>I468-J468</f>
        <v/>
      </c>
    </row>
    <row r="469" ht="14.25" customHeight="1" s="54">
      <c r="A469" s="20" t="inlineStr">
        <is>
          <t>BH-40463</t>
        </is>
      </c>
      <c r="B469" s="21" t="n">
        <v>45778</v>
      </c>
      <c r="C469" s="20" t="inlineStr">
        <is>
          <t>C14</t>
        </is>
      </c>
      <c r="D469" s="20" t="inlineStr">
        <is>
          <t>Oak Hollow Foods</t>
        </is>
      </c>
      <c r="E469" s="20" t="inlineStr">
        <is>
          <t>Grocery</t>
        </is>
      </c>
      <c r="F469" s="20" t="inlineStr">
        <is>
          <t>Snack Bars</t>
        </is>
      </c>
      <c r="G469" s="22" t="n">
        <v>733</v>
      </c>
      <c r="H469" s="23" t="n">
        <v>32.4</v>
      </c>
      <c r="I469" s="23" t="n">
        <v>23749.2</v>
      </c>
      <c r="J469" s="23" t="n">
        <v>14513.4</v>
      </c>
      <c r="K469">
        <f>IF(OR(COUNTIF($A$5:A469,A469)&gt;1,G469&lt;0,C469="",B469&lt;'Work 1'!$C$6,B469&gt;'Work 1'!$C$7,H469&gt;'Work 1'!$C$8*AVERAGEIF($F$5:$F$1014,F469,$H$5:$H$1014)),"Excl",IF(B469&gt;='Work 1'!$C$5,"LTM","Prior"))</f>
        <v/>
      </c>
      <c r="L469">
        <f>I469-J469</f>
        <v/>
      </c>
    </row>
    <row r="470" ht="14.25" customHeight="1" s="54">
      <c r="A470" s="20" t="inlineStr">
        <is>
          <t>BH-40464</t>
        </is>
      </c>
      <c r="B470" s="21" t="n">
        <v>45778</v>
      </c>
      <c r="C470" s="20" t="inlineStr">
        <is>
          <t>C15</t>
        </is>
      </c>
      <c r="D470" s="20" t="inlineStr">
        <is>
          <t>Prairie Fresh</t>
        </is>
      </c>
      <c r="E470" s="20" t="inlineStr">
        <is>
          <t>Grocery</t>
        </is>
      </c>
      <c r="F470" s="20" t="inlineStr">
        <is>
          <t>Granola</t>
        </is>
      </c>
      <c r="G470" s="22" t="n">
        <v>1370</v>
      </c>
      <c r="H470" s="23" t="n">
        <v>41.8</v>
      </c>
      <c r="I470" s="23" t="n">
        <v>57266</v>
      </c>
      <c r="J470" s="23" t="n">
        <v>35757</v>
      </c>
      <c r="K470">
        <f>IF(OR(COUNTIF($A$5:A470,A470)&gt;1,G470&lt;0,C470="",B470&lt;'Work 1'!$C$6,B470&gt;'Work 1'!$C$7,H470&gt;'Work 1'!$C$8*AVERAGEIF($F$5:$F$1014,F470,$H$5:$H$1014)),"Excl",IF(B470&gt;='Work 1'!$C$5,"LTM","Prior"))</f>
        <v/>
      </c>
      <c r="L470">
        <f>I470-J470</f>
        <v/>
      </c>
    </row>
    <row r="471" ht="14.25" customHeight="1" s="54">
      <c r="A471" s="20" t="inlineStr">
        <is>
          <t>BH-40465</t>
        </is>
      </c>
      <c r="B471" s="21" t="n">
        <v>45778</v>
      </c>
      <c r="C471" s="20" t="inlineStr">
        <is>
          <t>C15</t>
        </is>
      </c>
      <c r="D471" s="20" t="inlineStr">
        <is>
          <t>Prairie Fresh</t>
        </is>
      </c>
      <c r="E471" s="20" t="inlineStr">
        <is>
          <t>Grocery</t>
        </is>
      </c>
      <c r="F471" s="20" t="inlineStr">
        <is>
          <t>Snack Bars</t>
        </is>
      </c>
      <c r="G471" s="22" t="n">
        <v>973</v>
      </c>
      <c r="H471" s="23" t="n">
        <v>32.4</v>
      </c>
      <c r="I471" s="23" t="n">
        <v>31525.2</v>
      </c>
      <c r="J471" s="23" t="n">
        <v>19265.4</v>
      </c>
      <c r="K471">
        <f>IF(OR(COUNTIF($A$5:A471,A471)&gt;1,G471&lt;0,C471="",B471&lt;'Work 1'!$C$6,B471&gt;'Work 1'!$C$7,H471&gt;'Work 1'!$C$8*AVERAGEIF($F$5:$F$1014,F471,$H$5:$H$1014)),"Excl",IF(B471&gt;='Work 1'!$C$5,"LTM","Prior"))</f>
        <v/>
      </c>
      <c r="L471">
        <f>I471-J471</f>
        <v/>
      </c>
    </row>
    <row r="472" ht="14.25" customHeight="1" s="54">
      <c r="A472" s="20" t="inlineStr">
        <is>
          <t>BH-40466</t>
        </is>
      </c>
      <c r="B472" s="21" t="n">
        <v>45778</v>
      </c>
      <c r="C472" s="20" t="inlineStr">
        <is>
          <t>C16</t>
        </is>
      </c>
      <c r="D472" s="20" t="inlineStr">
        <is>
          <t>Bay Street Market</t>
        </is>
      </c>
      <c r="E472" s="20" t="inlineStr">
        <is>
          <t>Grocery</t>
        </is>
      </c>
      <c r="F472" s="20" t="inlineStr">
        <is>
          <t>Granola</t>
        </is>
      </c>
      <c r="G472" s="22" t="n">
        <v>983</v>
      </c>
      <c r="H472" s="23" t="n">
        <v>41.8</v>
      </c>
      <c r="I472" s="23" t="n">
        <v>41089.4</v>
      </c>
      <c r="J472" s="23" t="n">
        <v>25656.3</v>
      </c>
      <c r="K472">
        <f>IF(OR(COUNTIF($A$5:A472,A472)&gt;1,G472&lt;0,C472="",B472&lt;'Work 1'!$C$6,B472&gt;'Work 1'!$C$7,H472&gt;'Work 1'!$C$8*AVERAGEIF($F$5:$F$1014,F472,$H$5:$H$1014)),"Excl",IF(B472&gt;='Work 1'!$C$5,"LTM","Prior"))</f>
        <v/>
      </c>
      <c r="L472">
        <f>I472-J472</f>
        <v/>
      </c>
    </row>
    <row r="473" ht="14.25" customHeight="1" s="54">
      <c r="A473" s="20" t="inlineStr">
        <is>
          <t>BH-40467</t>
        </is>
      </c>
      <c r="B473" s="21" t="n">
        <v>45778</v>
      </c>
      <c r="C473" s="20" t="inlineStr">
        <is>
          <t>C16</t>
        </is>
      </c>
      <c r="D473" s="20" t="inlineStr">
        <is>
          <t>Bay Street Market</t>
        </is>
      </c>
      <c r="E473" s="20" t="inlineStr">
        <is>
          <t>Grocery</t>
        </is>
      </c>
      <c r="F473" s="20" t="inlineStr">
        <is>
          <t>Nut Butter</t>
        </is>
      </c>
      <c r="G473" s="22" t="n">
        <v>564</v>
      </c>
      <c r="H473" s="23" t="n">
        <v>55.6</v>
      </c>
      <c r="I473" s="23" t="n">
        <v>31358.4</v>
      </c>
      <c r="J473" s="23" t="n">
        <v>21657.6</v>
      </c>
      <c r="K473">
        <f>IF(OR(COUNTIF($A$5:A473,A473)&gt;1,G473&lt;0,C473="",B473&lt;'Work 1'!$C$6,B473&gt;'Work 1'!$C$7,H473&gt;'Work 1'!$C$8*AVERAGEIF($F$5:$F$1014,F473,$H$5:$H$1014)),"Excl",IF(B473&gt;='Work 1'!$C$5,"LTM","Prior"))</f>
        <v/>
      </c>
      <c r="L473">
        <f>I473-J473</f>
        <v/>
      </c>
    </row>
    <row r="474" ht="14.25" customHeight="1" s="54">
      <c r="A474" s="20" t="inlineStr">
        <is>
          <t>BH-40468</t>
        </is>
      </c>
      <c r="B474" s="21" t="n">
        <v>45778</v>
      </c>
      <c r="C474" s="20" t="inlineStr">
        <is>
          <t>C18</t>
        </is>
      </c>
      <c r="D474" s="20" t="inlineStr">
        <is>
          <t>Hillcrest Food Co.</t>
        </is>
      </c>
      <c r="E474" s="20" t="inlineStr">
        <is>
          <t>Grocery</t>
        </is>
      </c>
      <c r="F474" s="20" t="inlineStr">
        <is>
          <t>Granola</t>
        </is>
      </c>
      <c r="G474" s="22" t="n">
        <v>965</v>
      </c>
      <c r="H474" s="23" t="n">
        <v>41.8</v>
      </c>
      <c r="I474" s="23" t="n">
        <v>40337</v>
      </c>
      <c r="J474" s="23" t="n">
        <v>25186.5</v>
      </c>
      <c r="K474">
        <f>IF(OR(COUNTIF($A$5:A474,A474)&gt;1,G474&lt;0,C474="",B474&lt;'Work 1'!$C$6,B474&gt;'Work 1'!$C$7,H474&gt;'Work 1'!$C$8*AVERAGEIF($F$5:$F$1014,F474,$H$5:$H$1014)),"Excl",IF(B474&gt;='Work 1'!$C$5,"LTM","Prior"))</f>
        <v/>
      </c>
      <c r="L474">
        <f>I474-J474</f>
        <v/>
      </c>
    </row>
    <row r="475" ht="14.25" customHeight="1" s="54">
      <c r="A475" s="20" t="inlineStr">
        <is>
          <t>BH-40469</t>
        </is>
      </c>
      <c r="B475" s="21" t="n">
        <v>45778</v>
      </c>
      <c r="C475" s="20" t="inlineStr">
        <is>
          <t>C18</t>
        </is>
      </c>
      <c r="D475" s="20" t="inlineStr">
        <is>
          <t>Hillcrest Food Co.</t>
        </is>
      </c>
      <c r="E475" s="20" t="inlineStr">
        <is>
          <t>Grocery</t>
        </is>
      </c>
      <c r="F475" s="20" t="inlineStr">
        <is>
          <t>Nut Butter</t>
        </is>
      </c>
      <c r="G475" s="22" t="n">
        <v>432</v>
      </c>
      <c r="H475" s="23" t="n">
        <v>55.6</v>
      </c>
      <c r="I475" s="23" t="n">
        <v>24019.2</v>
      </c>
      <c r="J475" s="23" t="n">
        <v>16588.8</v>
      </c>
      <c r="K475">
        <f>IF(OR(COUNTIF($A$5:A475,A475)&gt;1,G475&lt;0,C475="",B475&lt;'Work 1'!$C$6,B475&gt;'Work 1'!$C$7,H475&gt;'Work 1'!$C$8*AVERAGEIF($F$5:$F$1014,F475,$H$5:$H$1014)),"Excl",IF(B475&gt;='Work 1'!$C$5,"LTM","Prior"))</f>
        <v/>
      </c>
      <c r="L475">
        <f>I475-J475</f>
        <v/>
      </c>
    </row>
    <row r="476" ht="14.25" customHeight="1" s="54">
      <c r="A476" s="20" t="inlineStr">
        <is>
          <t>BH-40470</t>
        </is>
      </c>
      <c r="B476" s="21" t="n">
        <v>45809</v>
      </c>
      <c r="C476" s="20" t="inlineStr">
        <is>
          <t>C01</t>
        </is>
      </c>
      <c r="D476" s="20" t="inlineStr">
        <is>
          <t>Northfield Markets</t>
        </is>
      </c>
      <c r="E476" s="20" t="inlineStr">
        <is>
          <t>Grocery</t>
        </is>
      </c>
      <c r="F476" s="20" t="inlineStr">
        <is>
          <t>Granola</t>
        </is>
      </c>
      <c r="G476" s="22" t="n">
        <v>13785</v>
      </c>
      <c r="H476" s="23" t="n">
        <v>39.29</v>
      </c>
      <c r="I476" s="23" t="n">
        <v>541612.65</v>
      </c>
      <c r="J476" s="23" t="n">
        <v>359788.5</v>
      </c>
      <c r="K476">
        <f>IF(OR(COUNTIF($A$5:A476,A476)&gt;1,G476&lt;0,C476="",B476&lt;'Work 1'!$C$6,B476&gt;'Work 1'!$C$7,H476&gt;'Work 1'!$C$8*AVERAGEIF($F$5:$F$1014,F476,$H$5:$H$1014)),"Excl",IF(B476&gt;='Work 1'!$C$5,"LTM","Prior"))</f>
        <v/>
      </c>
      <c r="L476">
        <f>I476-J476</f>
        <v/>
      </c>
    </row>
    <row r="477" ht="14.25" customHeight="1" s="54">
      <c r="A477" s="20" t="inlineStr">
        <is>
          <t>BH-40471</t>
        </is>
      </c>
      <c r="B477" s="21" t="n">
        <v>45809</v>
      </c>
      <c r="C477" s="20" t="inlineStr">
        <is>
          <t>C01</t>
        </is>
      </c>
      <c r="D477" s="20" t="inlineStr">
        <is>
          <t>Northfield Markets</t>
        </is>
      </c>
      <c r="E477" s="20" t="inlineStr">
        <is>
          <t>Grocery</t>
        </is>
      </c>
      <c r="F477" s="20" t="inlineStr">
        <is>
          <t>Nut Butter</t>
        </is>
      </c>
      <c r="G477" s="22" t="n">
        <v>6853</v>
      </c>
      <c r="H477" s="23" t="n">
        <v>52.26</v>
      </c>
      <c r="I477" s="23" t="n">
        <v>358137.78</v>
      </c>
      <c r="J477" s="23" t="n">
        <v>263155.2</v>
      </c>
      <c r="K477">
        <f>IF(OR(COUNTIF($A$5:A477,A477)&gt;1,G477&lt;0,C477="",B477&lt;'Work 1'!$C$6,B477&gt;'Work 1'!$C$7,H477&gt;'Work 1'!$C$8*AVERAGEIF($F$5:$F$1014,F477,$H$5:$H$1014)),"Excl",IF(B477&gt;='Work 1'!$C$5,"LTM","Prior"))</f>
        <v/>
      </c>
      <c r="L477">
        <f>I477-J477</f>
        <v/>
      </c>
    </row>
    <row r="478" ht="14.25" customHeight="1" s="54">
      <c r="A478" s="20" t="inlineStr">
        <is>
          <t>BH-40472</t>
        </is>
      </c>
      <c r="B478" s="21" t="n">
        <v>45809</v>
      </c>
      <c r="C478" s="20" t="inlineStr">
        <is>
          <t>C01</t>
        </is>
      </c>
      <c r="D478" s="20" t="inlineStr">
        <is>
          <t>Northfield Markets</t>
        </is>
      </c>
      <c r="E478" s="20" t="inlineStr">
        <is>
          <t>Grocery</t>
        </is>
      </c>
      <c r="F478" s="20" t="inlineStr">
        <is>
          <t>Snack Bars</t>
        </is>
      </c>
      <c r="G478" s="22" t="n">
        <v>10063</v>
      </c>
      <c r="H478" s="23" t="n">
        <v>30.46</v>
      </c>
      <c r="I478" s="23" t="n">
        <v>306518.98</v>
      </c>
      <c r="J478" s="23" t="n">
        <v>199247.4</v>
      </c>
      <c r="K478">
        <f>IF(OR(COUNTIF($A$5:A478,A478)&gt;1,G478&lt;0,C478="",B478&lt;'Work 1'!$C$6,B478&gt;'Work 1'!$C$7,H478&gt;'Work 1'!$C$8*AVERAGEIF($F$5:$F$1014,F478,$H$5:$H$1014)),"Excl",IF(B478&gt;='Work 1'!$C$5,"LTM","Prior"))</f>
        <v/>
      </c>
      <c r="L478">
        <f>I478-J478</f>
        <v/>
      </c>
    </row>
    <row r="479" ht="14.25" customHeight="1" s="54">
      <c r="A479" s="20" t="inlineStr">
        <is>
          <t>BH-40473</t>
        </is>
      </c>
      <c r="B479" s="21" t="n">
        <v>45809</v>
      </c>
      <c r="C479" s="20" t="inlineStr">
        <is>
          <t>C02</t>
        </is>
      </c>
      <c r="D479" s="20" t="inlineStr">
        <is>
          <t>Crestline Grocers</t>
        </is>
      </c>
      <c r="E479" s="20" t="inlineStr">
        <is>
          <t>Grocery</t>
        </is>
      </c>
      <c r="F479" s="20" t="inlineStr">
        <is>
          <t>Granola</t>
        </is>
      </c>
      <c r="G479" s="22" t="n">
        <v>3696</v>
      </c>
      <c r="H479" s="23" t="n">
        <v>40.55</v>
      </c>
      <c r="I479" s="23" t="n">
        <v>149872.8</v>
      </c>
      <c r="J479" s="23" t="n">
        <v>96465.60000000001</v>
      </c>
      <c r="K479">
        <f>IF(OR(COUNTIF($A$5:A479,A479)&gt;1,G479&lt;0,C479="",B479&lt;'Work 1'!$C$6,B479&gt;'Work 1'!$C$7,H479&gt;'Work 1'!$C$8*AVERAGEIF($F$5:$F$1014,F479,$H$5:$H$1014)),"Excl",IF(B479&gt;='Work 1'!$C$5,"LTM","Prior"))</f>
        <v/>
      </c>
      <c r="L479">
        <f>I479-J479</f>
        <v/>
      </c>
    </row>
    <row r="480" ht="14.25" customHeight="1" s="54">
      <c r="A480" s="20" t="inlineStr">
        <is>
          <t>BH-40474</t>
        </is>
      </c>
      <c r="B480" s="21" t="n">
        <v>45809</v>
      </c>
      <c r="C480" s="20" t="inlineStr">
        <is>
          <t>C02</t>
        </is>
      </c>
      <c r="D480" s="20" t="inlineStr">
        <is>
          <t>Crestline Grocers</t>
        </is>
      </c>
      <c r="E480" s="20" t="inlineStr">
        <is>
          <t>Grocery</t>
        </is>
      </c>
      <c r="F480" s="20" t="inlineStr">
        <is>
          <t>Nut Butter</t>
        </is>
      </c>
      <c r="G480" s="22" t="n">
        <v>1835</v>
      </c>
      <c r="H480" s="23" t="n">
        <v>53.93</v>
      </c>
      <c r="I480" s="23" t="n">
        <v>98961.55</v>
      </c>
      <c r="J480" s="23" t="n">
        <v>70464</v>
      </c>
      <c r="K480">
        <f>IF(OR(COUNTIF($A$5:A480,A480)&gt;1,G480&lt;0,C480="",B480&lt;'Work 1'!$C$6,B480&gt;'Work 1'!$C$7,H480&gt;'Work 1'!$C$8*AVERAGEIF($F$5:$F$1014,F480,$H$5:$H$1014)),"Excl",IF(B480&gt;='Work 1'!$C$5,"LTM","Prior"))</f>
        <v/>
      </c>
      <c r="L480">
        <f>I480-J480</f>
        <v/>
      </c>
    </row>
    <row r="481" ht="14.25" customHeight="1" s="54">
      <c r="A481" s="20" t="inlineStr">
        <is>
          <t>BH-40475</t>
        </is>
      </c>
      <c r="B481" s="21" t="n">
        <v>45809</v>
      </c>
      <c r="C481" s="20" t="inlineStr">
        <is>
          <t>C02</t>
        </is>
      </c>
      <c r="D481" s="20" t="inlineStr">
        <is>
          <t>Crestline Grocers</t>
        </is>
      </c>
      <c r="E481" s="20" t="inlineStr">
        <is>
          <t>Grocery</t>
        </is>
      </c>
      <c r="F481" s="20" t="inlineStr">
        <is>
          <t>Snack Bars</t>
        </is>
      </c>
      <c r="G481" s="22" t="n">
        <v>3155</v>
      </c>
      <c r="H481" s="23" t="n">
        <v>31.43</v>
      </c>
      <c r="I481" s="23" t="n">
        <v>99161.64999999999</v>
      </c>
      <c r="J481" s="23" t="n">
        <v>62469</v>
      </c>
      <c r="K481">
        <f>IF(OR(COUNTIF($A$5:A481,A481)&gt;1,G481&lt;0,C481="",B481&lt;'Work 1'!$C$6,B481&gt;'Work 1'!$C$7,H481&gt;'Work 1'!$C$8*AVERAGEIF($F$5:$F$1014,F481,$H$5:$H$1014)),"Excl",IF(B481&gt;='Work 1'!$C$5,"LTM","Prior"))</f>
        <v/>
      </c>
      <c r="L481">
        <f>I481-J481</f>
        <v/>
      </c>
    </row>
    <row r="482" ht="14.25" customHeight="1" s="54">
      <c r="A482" s="20" t="inlineStr">
        <is>
          <t>BH-40476</t>
        </is>
      </c>
      <c r="B482" s="21" t="n">
        <v>45809</v>
      </c>
      <c r="C482" s="20" t="inlineStr">
        <is>
          <t>C03</t>
        </is>
      </c>
      <c r="D482" s="20" t="inlineStr">
        <is>
          <t>ValuClub Warehouse</t>
        </is>
      </c>
      <c r="E482" s="20" t="inlineStr">
        <is>
          <t>Club</t>
        </is>
      </c>
      <c r="F482" s="20" t="inlineStr">
        <is>
          <t>Granola</t>
        </is>
      </c>
      <c r="G482" s="22" t="n">
        <v>11895</v>
      </c>
      <c r="H482" s="23" t="n">
        <v>35.9</v>
      </c>
      <c r="I482" s="23" t="n">
        <v>427030.5</v>
      </c>
      <c r="J482" s="23" t="n">
        <v>310459.5</v>
      </c>
      <c r="K482">
        <f>IF(OR(COUNTIF($A$5:A482,A482)&gt;1,G482&lt;0,C482="",B482&lt;'Work 1'!$C$6,B482&gt;'Work 1'!$C$7,H482&gt;'Work 1'!$C$8*AVERAGEIF($F$5:$F$1014,F482,$H$5:$H$1014)),"Excl",IF(B482&gt;='Work 1'!$C$5,"LTM","Prior"))</f>
        <v/>
      </c>
      <c r="L482">
        <f>I482-J482</f>
        <v/>
      </c>
    </row>
    <row r="483" ht="14.25" customHeight="1" s="54">
      <c r="A483" s="20" t="inlineStr">
        <is>
          <t>BH-40477</t>
        </is>
      </c>
      <c r="B483" s="21" t="n">
        <v>45809</v>
      </c>
      <c r="C483" s="20" t="inlineStr">
        <is>
          <t>C03</t>
        </is>
      </c>
      <c r="D483" s="20" t="inlineStr">
        <is>
          <t>ValuClub Warehouse</t>
        </is>
      </c>
      <c r="E483" s="20" t="inlineStr">
        <is>
          <t>Club</t>
        </is>
      </c>
      <c r="F483" s="20" t="inlineStr">
        <is>
          <t>Snack Bars</t>
        </is>
      </c>
      <c r="G483" s="22" t="n">
        <v>12744</v>
      </c>
      <c r="H483" s="23" t="n">
        <v>27.4</v>
      </c>
      <c r="I483" s="23" t="n">
        <v>349185.6</v>
      </c>
      <c r="J483" s="23" t="n">
        <v>252331.2</v>
      </c>
      <c r="K483">
        <f>IF(OR(COUNTIF($A$5:A483,A483)&gt;1,G483&lt;0,C483="",B483&lt;'Work 1'!$C$6,B483&gt;'Work 1'!$C$7,H483&gt;'Work 1'!$C$8*AVERAGEIF($F$5:$F$1014,F483,$H$5:$H$1014)),"Excl",IF(B483&gt;='Work 1'!$C$5,"LTM","Prior"))</f>
        <v/>
      </c>
      <c r="L483">
        <f>I483-J483</f>
        <v/>
      </c>
    </row>
    <row r="484" ht="14.25" customHeight="1" s="54">
      <c r="A484" s="20" t="inlineStr">
        <is>
          <t>BH-40478</t>
        </is>
      </c>
      <c r="B484" s="21" t="n">
        <v>45809</v>
      </c>
      <c r="C484" s="20" t="inlineStr">
        <is>
          <t>C04</t>
        </is>
      </c>
      <c r="D484" s="20" t="inlineStr">
        <is>
          <t>Harvest Lane Co-op</t>
        </is>
      </c>
      <c r="E484" s="20" t="inlineStr">
        <is>
          <t>Grocery</t>
        </is>
      </c>
      <c r="F484" s="20" t="inlineStr">
        <is>
          <t>Granola</t>
        </is>
      </c>
      <c r="G484" s="22" t="n">
        <v>2614</v>
      </c>
      <c r="H484" s="23" t="n">
        <v>41.8</v>
      </c>
      <c r="I484" s="23" t="n">
        <v>109265.2</v>
      </c>
      <c r="J484" s="23" t="n">
        <v>68225.39999999999</v>
      </c>
      <c r="K484">
        <f>IF(OR(COUNTIF($A$5:A484,A484)&gt;1,G484&lt;0,C484="",B484&lt;'Work 1'!$C$6,B484&gt;'Work 1'!$C$7,H484&gt;'Work 1'!$C$8*AVERAGEIF($F$5:$F$1014,F484,$H$5:$H$1014)),"Excl",IF(B484&gt;='Work 1'!$C$5,"LTM","Prior"))</f>
        <v/>
      </c>
      <c r="L484">
        <f>I484-J484</f>
        <v/>
      </c>
    </row>
    <row r="485" ht="14.25" customHeight="1" s="54">
      <c r="A485" s="20" t="inlineStr">
        <is>
          <t>BH-40479</t>
        </is>
      </c>
      <c r="B485" s="21" t="n">
        <v>45809</v>
      </c>
      <c r="C485" s="20" t="inlineStr">
        <is>
          <t>C04</t>
        </is>
      </c>
      <c r="D485" s="20" t="inlineStr">
        <is>
          <t>Harvest Lane Co-op</t>
        </is>
      </c>
      <c r="E485" s="20" t="inlineStr">
        <is>
          <t>Grocery</t>
        </is>
      </c>
      <c r="F485" s="20" t="inlineStr">
        <is>
          <t>Nut Butter</t>
        </is>
      </c>
      <c r="G485" s="22" t="n">
        <v>1364</v>
      </c>
      <c r="H485" s="23" t="n">
        <v>55.6</v>
      </c>
      <c r="I485" s="23" t="n">
        <v>75838.39999999999</v>
      </c>
      <c r="J485" s="23" t="n">
        <v>52377.6</v>
      </c>
      <c r="K485">
        <f>IF(OR(COUNTIF($A$5:A485,A485)&gt;1,G485&lt;0,C485="",B485&lt;'Work 1'!$C$6,B485&gt;'Work 1'!$C$7,H485&gt;'Work 1'!$C$8*AVERAGEIF($F$5:$F$1014,F485,$H$5:$H$1014)),"Excl",IF(B485&gt;='Work 1'!$C$5,"LTM","Prior"))</f>
        <v/>
      </c>
      <c r="L485">
        <f>I485-J485</f>
        <v/>
      </c>
    </row>
    <row r="486" ht="14.25" customHeight="1" s="54">
      <c r="A486" s="20" t="inlineStr">
        <is>
          <t>BH-40480</t>
        </is>
      </c>
      <c r="B486" s="21" t="n">
        <v>45809</v>
      </c>
      <c r="C486" s="20" t="inlineStr">
        <is>
          <t>C04</t>
        </is>
      </c>
      <c r="D486" s="20" t="inlineStr">
        <is>
          <t>Harvest Lane Co-op</t>
        </is>
      </c>
      <c r="E486" s="20" t="inlineStr">
        <is>
          <t>Grocery</t>
        </is>
      </c>
      <c r="F486" s="20" t="inlineStr">
        <is>
          <t>Snack Bars</t>
        </is>
      </c>
      <c r="G486" s="22" t="n">
        <v>1676</v>
      </c>
      <c r="H486" s="23" t="n">
        <v>32.4</v>
      </c>
      <c r="I486" s="23" t="n">
        <v>54302.4</v>
      </c>
      <c r="J486" s="23" t="n">
        <v>33184.8</v>
      </c>
      <c r="K486">
        <f>IF(OR(COUNTIF($A$5:A486,A486)&gt;1,G486&lt;0,C486="",B486&lt;'Work 1'!$C$6,B486&gt;'Work 1'!$C$7,H486&gt;'Work 1'!$C$8*AVERAGEIF($F$5:$F$1014,F486,$H$5:$H$1014)),"Excl",IF(B486&gt;='Work 1'!$C$5,"LTM","Prior"))</f>
        <v/>
      </c>
      <c r="L486">
        <f>I486-J486</f>
        <v/>
      </c>
    </row>
    <row r="487" ht="14.25" customHeight="1" s="54">
      <c r="A487" s="20" t="inlineStr">
        <is>
          <t>BH-40481</t>
        </is>
      </c>
      <c r="B487" s="21" t="n">
        <v>45809</v>
      </c>
      <c r="C487" s="20" t="inlineStr">
        <is>
          <t>C05</t>
        </is>
      </c>
      <c r="D487" s="20" t="inlineStr">
        <is>
          <t>Pioneer Foods Distribution</t>
        </is>
      </c>
      <c r="E487" s="20" t="inlineStr">
        <is>
          <t>Grocery</t>
        </is>
      </c>
      <c r="F487" s="20" t="inlineStr">
        <is>
          <t>Granola</t>
        </is>
      </c>
      <c r="G487" s="22" t="n">
        <v>3284</v>
      </c>
      <c r="H487" s="23" t="n">
        <v>37.62</v>
      </c>
      <c r="I487" s="23" t="n">
        <v>123544.08</v>
      </c>
      <c r="J487" s="23" t="n">
        <v>85712.39999999999</v>
      </c>
      <c r="K487">
        <f>IF(OR(COUNTIF($A$5:A487,A487)&gt;1,G487&lt;0,C487="",B487&lt;'Work 1'!$C$6,B487&gt;'Work 1'!$C$7,H487&gt;'Work 1'!$C$8*AVERAGEIF($F$5:$F$1014,F487,$H$5:$H$1014)),"Excl",IF(B487&gt;='Work 1'!$C$5,"LTM","Prior"))</f>
        <v/>
      </c>
      <c r="L487">
        <f>I487-J487</f>
        <v/>
      </c>
    </row>
    <row r="488" ht="14.25" customHeight="1" s="54">
      <c r="A488" s="20" t="inlineStr">
        <is>
          <t>BH-40482</t>
        </is>
      </c>
      <c r="B488" s="21" t="n">
        <v>45809</v>
      </c>
      <c r="C488" s="20" t="inlineStr">
        <is>
          <t>C05</t>
        </is>
      </c>
      <c r="D488" s="20" t="inlineStr">
        <is>
          <t>Pioneer Foods Distribution</t>
        </is>
      </c>
      <c r="E488" s="20" t="inlineStr">
        <is>
          <t>Grocery</t>
        </is>
      </c>
      <c r="F488" s="20" t="inlineStr">
        <is>
          <t>Nut Butter</t>
        </is>
      </c>
      <c r="G488" s="22" t="n">
        <v>1775</v>
      </c>
      <c r="H488" s="23" t="n">
        <v>50.04</v>
      </c>
      <c r="I488" s="23" t="n">
        <v>88821</v>
      </c>
      <c r="J488" s="23" t="n">
        <v>68160</v>
      </c>
      <c r="K488">
        <f>IF(OR(COUNTIF($A$5:A488,A488)&gt;1,G488&lt;0,C488="",B488&lt;'Work 1'!$C$6,B488&gt;'Work 1'!$C$7,H488&gt;'Work 1'!$C$8*AVERAGEIF($F$5:$F$1014,F488,$H$5:$H$1014)),"Excl",IF(B488&gt;='Work 1'!$C$5,"LTM","Prior"))</f>
        <v/>
      </c>
      <c r="L488">
        <f>I488-J488</f>
        <v/>
      </c>
    </row>
    <row r="489" ht="14.25" customHeight="1" s="54">
      <c r="A489" s="20" t="inlineStr">
        <is>
          <t>BH-40483</t>
        </is>
      </c>
      <c r="B489" s="21" t="n">
        <v>45809</v>
      </c>
      <c r="C489" s="20" t="inlineStr">
        <is>
          <t>C05</t>
        </is>
      </c>
      <c r="D489" s="20" t="inlineStr">
        <is>
          <t>Pioneer Foods Distribution</t>
        </is>
      </c>
      <c r="E489" s="20" t="inlineStr">
        <is>
          <t>Grocery</t>
        </is>
      </c>
      <c r="F489" s="20" t="inlineStr">
        <is>
          <t>Snack Bars</t>
        </is>
      </c>
      <c r="G489" s="22" t="n">
        <v>2974</v>
      </c>
      <c r="H489" s="23" t="n">
        <v>29.16</v>
      </c>
      <c r="I489" s="23" t="n">
        <v>86721.84</v>
      </c>
      <c r="J489" s="23" t="n">
        <v>58885.2</v>
      </c>
      <c r="K489">
        <f>IF(OR(COUNTIF($A$5:A489,A489)&gt;1,G489&lt;0,C489="",B489&lt;'Work 1'!$C$6,B489&gt;'Work 1'!$C$7,H489&gt;'Work 1'!$C$8*AVERAGEIF($F$5:$F$1014,F489,$H$5:$H$1014)),"Excl",IF(B489&gt;='Work 1'!$C$5,"LTM","Prior"))</f>
        <v/>
      </c>
      <c r="L489">
        <f>I489-J489</f>
        <v/>
      </c>
    </row>
    <row r="490" ht="14.25" customHeight="1" s="54">
      <c r="A490" s="20" t="inlineStr">
        <is>
          <t>BH-40484</t>
        </is>
      </c>
      <c r="B490" s="21" t="n">
        <v>45809</v>
      </c>
      <c r="C490" s="20" t="inlineStr">
        <is>
          <t>C06</t>
        </is>
      </c>
      <c r="D490" s="20" t="inlineStr">
        <is>
          <t>Summit Club Stores</t>
        </is>
      </c>
      <c r="E490" s="20" t="inlineStr">
        <is>
          <t>Club</t>
        </is>
      </c>
      <c r="F490" s="20" t="inlineStr">
        <is>
          <t>Granola</t>
        </is>
      </c>
      <c r="G490" s="22" t="n">
        <v>4700</v>
      </c>
      <c r="H490" s="23" t="n">
        <v>35.9</v>
      </c>
      <c r="I490" s="23" t="n">
        <v>168730</v>
      </c>
      <c r="J490" s="23" t="n">
        <v>122670</v>
      </c>
      <c r="K490">
        <f>IF(OR(COUNTIF($A$5:A490,A490)&gt;1,G490&lt;0,C490="",B490&lt;'Work 1'!$C$6,B490&gt;'Work 1'!$C$7,H490&gt;'Work 1'!$C$8*AVERAGEIF($F$5:$F$1014,F490,$H$5:$H$1014)),"Excl",IF(B490&gt;='Work 1'!$C$5,"LTM","Prior"))</f>
        <v/>
      </c>
      <c r="L490">
        <f>I490-J490</f>
        <v/>
      </c>
    </row>
    <row r="491" ht="14.25" customHeight="1" s="54">
      <c r="A491" s="20" t="inlineStr">
        <is>
          <t>BH-40485</t>
        </is>
      </c>
      <c r="B491" s="21" t="n">
        <v>45809</v>
      </c>
      <c r="C491" s="20" t="inlineStr">
        <is>
          <t>C06</t>
        </is>
      </c>
      <c r="D491" s="20" t="inlineStr">
        <is>
          <t>Summit Club Stores</t>
        </is>
      </c>
      <c r="E491" s="20" t="inlineStr">
        <is>
          <t>Club</t>
        </is>
      </c>
      <c r="F491" s="20" t="inlineStr">
        <is>
          <t>Nut Butter</t>
        </is>
      </c>
      <c r="G491" s="22" t="n">
        <v>2583</v>
      </c>
      <c r="H491" s="23" t="n">
        <v>47.8</v>
      </c>
      <c r="I491" s="23" t="n">
        <v>123467.4</v>
      </c>
      <c r="J491" s="23" t="n">
        <v>99187.2</v>
      </c>
      <c r="K491">
        <f>IF(OR(COUNTIF($A$5:A491,A491)&gt;1,G491&lt;0,C491="",B491&lt;'Work 1'!$C$6,B491&gt;'Work 1'!$C$7,H491&gt;'Work 1'!$C$8*AVERAGEIF($F$5:$F$1014,F491,$H$5:$H$1014)),"Excl",IF(B491&gt;='Work 1'!$C$5,"LTM","Prior"))</f>
        <v/>
      </c>
      <c r="L491">
        <f>I491-J491</f>
        <v/>
      </c>
    </row>
    <row r="492" ht="14.25" customHeight="1" s="54">
      <c r="A492" s="20" t="inlineStr">
        <is>
          <t>BH-40486</t>
        </is>
      </c>
      <c r="B492" s="21" t="n">
        <v>45809</v>
      </c>
      <c r="C492" s="20" t="inlineStr">
        <is>
          <t>C07</t>
        </is>
      </c>
      <c r="D492" s="20" t="inlineStr">
        <is>
          <t>Bramble Hill Online Store</t>
        </is>
      </c>
      <c r="E492" s="20" t="inlineStr">
        <is>
          <t>Online</t>
        </is>
      </c>
      <c r="F492" s="20" t="inlineStr">
        <is>
          <t>Granola</t>
        </is>
      </c>
      <c r="G492" s="22" t="n">
        <v>3261</v>
      </c>
      <c r="H492" s="23" t="n">
        <v>47.5</v>
      </c>
      <c r="I492" s="23" t="n">
        <v>154897.5</v>
      </c>
      <c r="J492" s="23" t="n">
        <v>85112.10000000001</v>
      </c>
      <c r="K492">
        <f>IF(OR(COUNTIF($A$5:A492,A492)&gt;1,G492&lt;0,C492="",B492&lt;'Work 1'!$C$6,B492&gt;'Work 1'!$C$7,H492&gt;'Work 1'!$C$8*AVERAGEIF($F$5:$F$1014,F492,$H$5:$H$1014)),"Excl",IF(B492&gt;='Work 1'!$C$5,"LTM","Prior"))</f>
        <v/>
      </c>
      <c r="L492">
        <f>I492-J492</f>
        <v/>
      </c>
    </row>
    <row r="493" ht="14.25" customHeight="1" s="54">
      <c r="A493" s="20" t="inlineStr">
        <is>
          <t>BH-40487</t>
        </is>
      </c>
      <c r="B493" s="21" t="n">
        <v>45809</v>
      </c>
      <c r="C493" s="20" t="inlineStr">
        <is>
          <t>C07</t>
        </is>
      </c>
      <c r="D493" s="20" t="inlineStr">
        <is>
          <t>Bramble Hill Online Store</t>
        </is>
      </c>
      <c r="E493" s="20" t="inlineStr">
        <is>
          <t>Online</t>
        </is>
      </c>
      <c r="F493" s="20" t="inlineStr">
        <is>
          <t>Nut Butter</t>
        </is>
      </c>
      <c r="G493" s="22" t="n">
        <v>1845</v>
      </c>
      <c r="H493" s="23" t="n">
        <v>61.9</v>
      </c>
      <c r="I493" s="23" t="n">
        <v>114205.5</v>
      </c>
      <c r="J493" s="23" t="n">
        <v>70848</v>
      </c>
      <c r="K493">
        <f>IF(OR(COUNTIF($A$5:A493,A493)&gt;1,G493&lt;0,C493="",B493&lt;'Work 1'!$C$6,B493&gt;'Work 1'!$C$7,H493&gt;'Work 1'!$C$8*AVERAGEIF($F$5:$F$1014,F493,$H$5:$H$1014)),"Excl",IF(B493&gt;='Work 1'!$C$5,"LTM","Prior"))</f>
        <v/>
      </c>
      <c r="L493">
        <f>I493-J493</f>
        <v/>
      </c>
    </row>
    <row r="494" ht="14.25" customHeight="1" s="54">
      <c r="A494" s="20" t="inlineStr">
        <is>
          <t>BH-40488</t>
        </is>
      </c>
      <c r="B494" s="21" t="n">
        <v>45809</v>
      </c>
      <c r="C494" s="20" t="inlineStr">
        <is>
          <t>C07</t>
        </is>
      </c>
      <c r="D494" s="20" t="inlineStr">
        <is>
          <t>Bramble Hill Online Store</t>
        </is>
      </c>
      <c r="E494" s="20" t="inlineStr">
        <is>
          <t>Online</t>
        </is>
      </c>
      <c r="F494" s="20" t="inlineStr">
        <is>
          <t>Snack Bars</t>
        </is>
      </c>
      <c r="G494" s="22" t="n">
        <v>2389</v>
      </c>
      <c r="H494" s="23" t="n">
        <v>37.8</v>
      </c>
      <c r="I494" s="23" t="n">
        <v>90304.2</v>
      </c>
      <c r="J494" s="23" t="n">
        <v>47302.2</v>
      </c>
      <c r="K494">
        <f>IF(OR(COUNTIF($A$5:A494,A494)&gt;1,G494&lt;0,C494="",B494&lt;'Work 1'!$C$6,B494&gt;'Work 1'!$C$7,H494&gt;'Work 1'!$C$8*AVERAGEIF($F$5:$F$1014,F494,$H$5:$H$1014)),"Excl",IF(B494&gt;='Work 1'!$C$5,"LTM","Prior"))</f>
        <v/>
      </c>
      <c r="L494">
        <f>I494-J494</f>
        <v/>
      </c>
    </row>
    <row r="495" ht="14.25" customHeight="1" s="54">
      <c r="A495" s="20" t="inlineStr">
        <is>
          <t>BH-40489</t>
        </is>
      </c>
      <c r="B495" s="21" t="n">
        <v>45809</v>
      </c>
      <c r="C495" s="20" t="inlineStr">
        <is>
          <t>C08</t>
        </is>
      </c>
      <c r="D495" s="20" t="inlineStr">
        <is>
          <t>Online Marketplace</t>
        </is>
      </c>
      <c r="E495" s="20" t="inlineStr">
        <is>
          <t>Online</t>
        </is>
      </c>
      <c r="F495" s="20" t="inlineStr">
        <is>
          <t>Granola</t>
        </is>
      </c>
      <c r="G495" s="22" t="n">
        <v>3278</v>
      </c>
      <c r="H495" s="23" t="n">
        <v>41.8</v>
      </c>
      <c r="I495" s="23" t="n">
        <v>137020.4</v>
      </c>
      <c r="J495" s="23" t="n">
        <v>85555.8</v>
      </c>
      <c r="K495">
        <f>IF(OR(COUNTIF($A$5:A495,A495)&gt;1,G495&lt;0,C495="",B495&lt;'Work 1'!$C$6,B495&gt;'Work 1'!$C$7,H495&gt;'Work 1'!$C$8*AVERAGEIF($F$5:$F$1014,F495,$H$5:$H$1014)),"Excl",IF(B495&gt;='Work 1'!$C$5,"LTM","Prior"))</f>
        <v/>
      </c>
      <c r="L495">
        <f>I495-J495</f>
        <v/>
      </c>
    </row>
    <row r="496" ht="14.25" customHeight="1" s="54">
      <c r="A496" s="20" t="inlineStr">
        <is>
          <t>BH-40490</t>
        </is>
      </c>
      <c r="B496" s="21" t="n">
        <v>45809</v>
      </c>
      <c r="C496" s="20" t="inlineStr">
        <is>
          <t>C08</t>
        </is>
      </c>
      <c r="D496" s="20" t="inlineStr">
        <is>
          <t>Online Marketplace</t>
        </is>
      </c>
      <c r="E496" s="20" t="inlineStr">
        <is>
          <t>Online</t>
        </is>
      </c>
      <c r="F496" s="20" t="inlineStr">
        <is>
          <t>Nut Butter</t>
        </is>
      </c>
      <c r="G496" s="22" t="n">
        <v>1679</v>
      </c>
      <c r="H496" s="23" t="n">
        <v>54.47</v>
      </c>
      <c r="I496" s="23" t="n">
        <v>91455.13</v>
      </c>
      <c r="J496" s="23" t="n">
        <v>64473.6</v>
      </c>
      <c r="K496">
        <f>IF(OR(COUNTIF($A$5:A496,A496)&gt;1,G496&lt;0,C496="",B496&lt;'Work 1'!$C$6,B496&gt;'Work 1'!$C$7,H496&gt;'Work 1'!$C$8*AVERAGEIF($F$5:$F$1014,F496,$H$5:$H$1014)),"Excl",IF(B496&gt;='Work 1'!$C$5,"LTM","Prior"))</f>
        <v/>
      </c>
      <c r="L496">
        <f>I496-J496</f>
        <v/>
      </c>
    </row>
    <row r="497" ht="14.25" customHeight="1" s="54">
      <c r="A497" s="20" t="inlineStr">
        <is>
          <t>BH-40491</t>
        </is>
      </c>
      <c r="B497" s="21" t="n">
        <v>45809</v>
      </c>
      <c r="C497" s="20" t="inlineStr">
        <is>
          <t>C08</t>
        </is>
      </c>
      <c r="D497" s="20" t="inlineStr">
        <is>
          <t>Online Marketplace</t>
        </is>
      </c>
      <c r="E497" s="20" t="inlineStr">
        <is>
          <t>Online</t>
        </is>
      </c>
      <c r="F497" s="20" t="inlineStr">
        <is>
          <t>Snack Bars</t>
        </is>
      </c>
      <c r="G497" s="22" t="n">
        <v>2806</v>
      </c>
      <c r="H497" s="23" t="n">
        <v>33.26</v>
      </c>
      <c r="I497" s="23" t="n">
        <v>93327.56</v>
      </c>
      <c r="J497" s="23" t="n">
        <v>55558.8</v>
      </c>
      <c r="K497">
        <f>IF(OR(COUNTIF($A$5:A497,A497)&gt;1,G497&lt;0,C497="",B497&lt;'Work 1'!$C$6,B497&gt;'Work 1'!$C$7,H497&gt;'Work 1'!$C$8*AVERAGEIF($F$5:$F$1014,F497,$H$5:$H$1014)),"Excl",IF(B497&gt;='Work 1'!$C$5,"LTM","Prior"))</f>
        <v/>
      </c>
      <c r="L497">
        <f>I497-J497</f>
        <v/>
      </c>
    </row>
    <row r="498" ht="14.25" customHeight="1" s="54">
      <c r="A498" s="20" t="inlineStr">
        <is>
          <t>BH-40492</t>
        </is>
      </c>
      <c r="B498" s="21" t="n">
        <v>45809</v>
      </c>
      <c r="C498" s="20" t="inlineStr">
        <is>
          <t>C09</t>
        </is>
      </c>
      <c r="D498" s="20" t="inlineStr">
        <is>
          <t>Maple Ridge Grocers</t>
        </is>
      </c>
      <c r="E498" s="20" t="inlineStr">
        <is>
          <t>Grocery</t>
        </is>
      </c>
      <c r="F498" s="20" t="inlineStr">
        <is>
          <t>Granola</t>
        </is>
      </c>
      <c r="G498" s="22" t="n">
        <v>1509</v>
      </c>
      <c r="H498" s="23" t="n">
        <v>41.8</v>
      </c>
      <c r="I498" s="23" t="n">
        <v>63076.2</v>
      </c>
      <c r="J498" s="23" t="n">
        <v>39384.9</v>
      </c>
      <c r="K498">
        <f>IF(OR(COUNTIF($A$5:A498,A498)&gt;1,G498&lt;0,C498="",B498&lt;'Work 1'!$C$6,B498&gt;'Work 1'!$C$7,H498&gt;'Work 1'!$C$8*AVERAGEIF($F$5:$F$1014,F498,$H$5:$H$1014)),"Excl",IF(B498&gt;='Work 1'!$C$5,"LTM","Prior"))</f>
        <v/>
      </c>
      <c r="L498">
        <f>I498-J498</f>
        <v/>
      </c>
    </row>
    <row r="499" ht="14.25" customHeight="1" s="54">
      <c r="A499" s="20" t="inlineStr">
        <is>
          <t>BH-40493</t>
        </is>
      </c>
      <c r="B499" s="21" t="n">
        <v>45809</v>
      </c>
      <c r="C499" s="20" t="inlineStr">
        <is>
          <t>C09</t>
        </is>
      </c>
      <c r="D499" s="20" t="inlineStr">
        <is>
          <t>Maple Ridge Grocers</t>
        </is>
      </c>
      <c r="E499" s="20" t="inlineStr">
        <is>
          <t>Grocery</t>
        </is>
      </c>
      <c r="F499" s="20" t="inlineStr">
        <is>
          <t>Snack Bars</t>
        </is>
      </c>
      <c r="G499" s="22" t="n">
        <v>1224</v>
      </c>
      <c r="H499" s="23" t="n">
        <v>32.4</v>
      </c>
      <c r="I499" s="23" t="n">
        <v>39657.6</v>
      </c>
      <c r="J499" s="23" t="n">
        <v>24235.2</v>
      </c>
      <c r="K499">
        <f>IF(OR(COUNTIF($A$5:A499,A499)&gt;1,G499&lt;0,C499="",B499&lt;'Work 1'!$C$6,B499&gt;'Work 1'!$C$7,H499&gt;'Work 1'!$C$8*AVERAGEIF($F$5:$F$1014,F499,$H$5:$H$1014)),"Excl",IF(B499&gt;='Work 1'!$C$5,"LTM","Prior"))</f>
        <v/>
      </c>
      <c r="L499">
        <f>I499-J499</f>
        <v/>
      </c>
    </row>
    <row r="500" ht="14.25" customHeight="1" s="54">
      <c r="A500" s="20" t="inlineStr">
        <is>
          <t>BH-40494</t>
        </is>
      </c>
      <c r="B500" s="21" t="n">
        <v>45809</v>
      </c>
      <c r="C500" s="20" t="inlineStr">
        <is>
          <t>C10</t>
        </is>
      </c>
      <c r="D500" s="20" t="inlineStr">
        <is>
          <t>Lakeshore Foods</t>
        </is>
      </c>
      <c r="E500" s="20" t="inlineStr">
        <is>
          <t>Grocery</t>
        </is>
      </c>
      <c r="F500" s="20" t="inlineStr">
        <is>
          <t>Granola</t>
        </is>
      </c>
      <c r="G500" s="22" t="n">
        <v>1286</v>
      </c>
      <c r="H500" s="23" t="n">
        <v>41.8</v>
      </c>
      <c r="I500" s="23" t="n">
        <v>53754.8</v>
      </c>
      <c r="J500" s="23" t="n">
        <v>33564.6</v>
      </c>
      <c r="K500">
        <f>IF(OR(COUNTIF($A$5:A500,A500)&gt;1,G500&lt;0,C500="",B500&lt;'Work 1'!$C$6,B500&gt;'Work 1'!$C$7,H500&gt;'Work 1'!$C$8*AVERAGEIF($F$5:$F$1014,F500,$H$5:$H$1014)),"Excl",IF(B500&gt;='Work 1'!$C$5,"LTM","Prior"))</f>
        <v/>
      </c>
      <c r="L500">
        <f>I500-J500</f>
        <v/>
      </c>
    </row>
    <row r="501" ht="14.25" customHeight="1" s="54">
      <c r="A501" s="20" t="inlineStr">
        <is>
          <t>BH-40495</t>
        </is>
      </c>
      <c r="B501" s="21" t="n">
        <v>45809</v>
      </c>
      <c r="C501" s="20" t="inlineStr">
        <is>
          <t>C10</t>
        </is>
      </c>
      <c r="D501" s="20" t="inlineStr">
        <is>
          <t>Lakeshore Foods</t>
        </is>
      </c>
      <c r="E501" s="20" t="inlineStr">
        <is>
          <t>Grocery</t>
        </is>
      </c>
      <c r="F501" s="20" t="inlineStr">
        <is>
          <t>Nut Butter</t>
        </is>
      </c>
      <c r="G501" s="22" t="n">
        <v>542</v>
      </c>
      <c r="H501" s="23" t="n">
        <v>55.6</v>
      </c>
      <c r="I501" s="23" t="n">
        <v>30135.2</v>
      </c>
      <c r="J501" s="23" t="n">
        <v>20812.8</v>
      </c>
      <c r="K501">
        <f>IF(OR(COUNTIF($A$5:A501,A501)&gt;1,G501&lt;0,C501="",B501&lt;'Work 1'!$C$6,B501&gt;'Work 1'!$C$7,H501&gt;'Work 1'!$C$8*AVERAGEIF($F$5:$F$1014,F501,$H$5:$H$1014)),"Excl",IF(B501&gt;='Work 1'!$C$5,"LTM","Prior"))</f>
        <v/>
      </c>
      <c r="L501">
        <f>I501-J501</f>
        <v/>
      </c>
    </row>
    <row r="502" ht="14.25" customHeight="1" s="54">
      <c r="A502" s="20" t="inlineStr">
        <is>
          <t>BH-40496</t>
        </is>
      </c>
      <c r="B502" s="21" t="n">
        <v>45809</v>
      </c>
      <c r="C502" s="20" t="inlineStr">
        <is>
          <t>C11</t>
        </is>
      </c>
      <c r="D502" s="20" t="inlineStr">
        <is>
          <t>Copper Valley Market</t>
        </is>
      </c>
      <c r="E502" s="20" t="inlineStr">
        <is>
          <t>Grocery</t>
        </is>
      </c>
      <c r="F502" s="20" t="inlineStr">
        <is>
          <t>Granola</t>
        </is>
      </c>
      <c r="G502" s="22" t="n">
        <v>1105</v>
      </c>
      <c r="H502" s="23" t="n">
        <v>41.8</v>
      </c>
      <c r="I502" s="23" t="n">
        <v>46189</v>
      </c>
      <c r="J502" s="23" t="n">
        <v>28840.5</v>
      </c>
      <c r="K502">
        <f>IF(OR(COUNTIF($A$5:A502,A502)&gt;1,G502&lt;0,C502="",B502&lt;'Work 1'!$C$6,B502&gt;'Work 1'!$C$7,H502&gt;'Work 1'!$C$8*AVERAGEIF($F$5:$F$1014,F502,$H$5:$H$1014)),"Excl",IF(B502&gt;='Work 1'!$C$5,"LTM","Prior"))</f>
        <v/>
      </c>
      <c r="L502">
        <f>I502-J502</f>
        <v/>
      </c>
    </row>
    <row r="503" ht="14.25" customHeight="1" s="54">
      <c r="A503" s="20" t="inlineStr">
        <is>
          <t>BH-40497</t>
        </is>
      </c>
      <c r="B503" s="21" t="n">
        <v>45809</v>
      </c>
      <c r="C503" s="20" t="inlineStr">
        <is>
          <t>C11</t>
        </is>
      </c>
      <c r="D503" s="20" t="inlineStr">
        <is>
          <t>Copper Valley Market</t>
        </is>
      </c>
      <c r="E503" s="20" t="inlineStr">
        <is>
          <t>Grocery</t>
        </is>
      </c>
      <c r="F503" s="20" t="inlineStr">
        <is>
          <t>Snack Bars</t>
        </is>
      </c>
      <c r="G503" s="22" t="n">
        <v>1198</v>
      </c>
      <c r="H503" s="23" t="n">
        <v>32.4</v>
      </c>
      <c r="I503" s="23" t="n">
        <v>38815.2</v>
      </c>
      <c r="J503" s="23" t="n">
        <v>23720.4</v>
      </c>
      <c r="K503">
        <f>IF(OR(COUNTIF($A$5:A503,A503)&gt;1,G503&lt;0,C503="",B503&lt;'Work 1'!$C$6,B503&gt;'Work 1'!$C$7,H503&gt;'Work 1'!$C$8*AVERAGEIF($F$5:$F$1014,F503,$H$5:$H$1014)),"Excl",IF(B503&gt;='Work 1'!$C$5,"LTM","Prior"))</f>
        <v/>
      </c>
      <c r="L503">
        <f>I503-J503</f>
        <v/>
      </c>
    </row>
    <row r="504" ht="14.25" customHeight="1" s="54">
      <c r="A504" s="20" t="inlineStr">
        <is>
          <t>BH-40498</t>
        </is>
      </c>
      <c r="B504" s="21" t="n">
        <v>45809</v>
      </c>
      <c r="C504" s="20" t="inlineStr">
        <is>
          <t>C12</t>
        </is>
      </c>
      <c r="D504" s="20" t="inlineStr">
        <is>
          <t>Riverbend Grocery</t>
        </is>
      </c>
      <c r="E504" s="20" t="inlineStr">
        <is>
          <t>Grocery</t>
        </is>
      </c>
      <c r="F504" s="20" t="inlineStr">
        <is>
          <t>Granola</t>
        </is>
      </c>
      <c r="G504" s="22" t="n">
        <v>1673</v>
      </c>
      <c r="H504" s="23" t="n">
        <v>41.8</v>
      </c>
      <c r="I504" s="23" t="n">
        <v>69931.39999999999</v>
      </c>
      <c r="J504" s="23" t="n">
        <v>43665.3</v>
      </c>
      <c r="K504">
        <f>IF(OR(COUNTIF($A$5:A504,A504)&gt;1,G504&lt;0,C504="",B504&lt;'Work 1'!$C$6,B504&gt;'Work 1'!$C$7,H504&gt;'Work 1'!$C$8*AVERAGEIF($F$5:$F$1014,F504,$H$5:$H$1014)),"Excl",IF(B504&gt;='Work 1'!$C$5,"LTM","Prior"))</f>
        <v/>
      </c>
      <c r="L504">
        <f>I504-J504</f>
        <v/>
      </c>
    </row>
    <row r="505" ht="14.25" customHeight="1" s="54">
      <c r="A505" s="20" t="inlineStr">
        <is>
          <t>BH-40499</t>
        </is>
      </c>
      <c r="B505" s="21" t="n">
        <v>45809</v>
      </c>
      <c r="C505" s="20" t="inlineStr">
        <is>
          <t>C12</t>
        </is>
      </c>
      <c r="D505" s="20" t="inlineStr">
        <is>
          <t>Riverbend Grocery</t>
        </is>
      </c>
      <c r="E505" s="20" t="inlineStr">
        <is>
          <t>Grocery</t>
        </is>
      </c>
      <c r="F505" s="20" t="inlineStr">
        <is>
          <t>Nut Butter</t>
        </is>
      </c>
      <c r="G505" s="22" t="n">
        <v>710</v>
      </c>
      <c r="H505" s="23" t="n">
        <v>55.6</v>
      </c>
      <c r="I505" s="23" t="n">
        <v>39476</v>
      </c>
      <c r="J505" s="23" t="n">
        <v>27264</v>
      </c>
      <c r="K505">
        <f>IF(OR(COUNTIF($A$5:A505,A505)&gt;1,G505&lt;0,C505="",B505&lt;'Work 1'!$C$6,B505&gt;'Work 1'!$C$7,H505&gt;'Work 1'!$C$8*AVERAGEIF($F$5:$F$1014,F505,$H$5:$H$1014)),"Excl",IF(B505&gt;='Work 1'!$C$5,"LTM","Prior"))</f>
        <v/>
      </c>
      <c r="L505">
        <f>I505-J505</f>
        <v/>
      </c>
    </row>
    <row r="506" ht="14.25" customHeight="1" s="54">
      <c r="A506" s="20" t="inlineStr">
        <is>
          <t>BH-40500</t>
        </is>
      </c>
      <c r="B506" s="21" t="n">
        <v>45809</v>
      </c>
      <c r="C506" s="20" t="inlineStr">
        <is>
          <t>C13</t>
        </is>
      </c>
      <c r="D506" s="20" t="inlineStr">
        <is>
          <t>Sunfield Markets</t>
        </is>
      </c>
      <c r="E506" s="20" t="inlineStr">
        <is>
          <t>Grocery</t>
        </is>
      </c>
      <c r="F506" s="20" t="inlineStr">
        <is>
          <t>Granola</t>
        </is>
      </c>
      <c r="G506" s="22" t="n">
        <v>923</v>
      </c>
      <c r="H506" s="23" t="n">
        <v>41.8</v>
      </c>
      <c r="I506" s="23" t="n">
        <v>38581.4</v>
      </c>
      <c r="J506" s="23" t="n">
        <v>24090.3</v>
      </c>
      <c r="K506">
        <f>IF(OR(COUNTIF($A$5:A506,A506)&gt;1,G506&lt;0,C506="",B506&lt;'Work 1'!$C$6,B506&gt;'Work 1'!$C$7,H506&gt;'Work 1'!$C$8*AVERAGEIF($F$5:$F$1014,F506,$H$5:$H$1014)),"Excl",IF(B506&gt;='Work 1'!$C$5,"LTM","Prior"))</f>
        <v/>
      </c>
      <c r="L506">
        <f>I506-J506</f>
        <v/>
      </c>
    </row>
    <row r="507" ht="14.25" customHeight="1" s="54">
      <c r="A507" s="20" t="inlineStr">
        <is>
          <t>BH-40501</t>
        </is>
      </c>
      <c r="B507" s="21" t="n">
        <v>45809</v>
      </c>
      <c r="C507" s="20" t="inlineStr">
        <is>
          <t>C13</t>
        </is>
      </c>
      <c r="D507" s="20" t="inlineStr">
        <is>
          <t>Sunfield Markets</t>
        </is>
      </c>
      <c r="E507" s="20" t="inlineStr">
        <is>
          <t>Grocery</t>
        </is>
      </c>
      <c r="F507" s="20" t="inlineStr">
        <is>
          <t>Snack Bars</t>
        </is>
      </c>
      <c r="G507" s="22" t="n">
        <v>983</v>
      </c>
      <c r="H507" s="23" t="n">
        <v>32.4</v>
      </c>
      <c r="I507" s="23" t="n">
        <v>31849.2</v>
      </c>
      <c r="J507" s="23" t="n">
        <v>19463.4</v>
      </c>
      <c r="K507">
        <f>IF(OR(COUNTIF($A$5:A507,A507)&gt;1,G507&lt;0,C507="",B507&lt;'Work 1'!$C$6,B507&gt;'Work 1'!$C$7,H507&gt;'Work 1'!$C$8*AVERAGEIF($F$5:$F$1014,F507,$H$5:$H$1014)),"Excl",IF(B507&gt;='Work 1'!$C$5,"LTM","Prior"))</f>
        <v/>
      </c>
      <c r="L507">
        <f>I507-J507</f>
        <v/>
      </c>
    </row>
    <row r="508" ht="14.25" customHeight="1" s="54">
      <c r="A508" s="20" t="inlineStr">
        <is>
          <t>BH-40502</t>
        </is>
      </c>
      <c r="B508" s="21" t="n">
        <v>45809</v>
      </c>
      <c r="C508" s="20" t="inlineStr">
        <is>
          <t>C14</t>
        </is>
      </c>
      <c r="D508" s="20" t="inlineStr">
        <is>
          <t>Oak Hollow Foods</t>
        </is>
      </c>
      <c r="E508" s="20" t="inlineStr">
        <is>
          <t>Grocery</t>
        </is>
      </c>
      <c r="F508" s="20" t="inlineStr">
        <is>
          <t>Granola</t>
        </is>
      </c>
      <c r="G508" s="22" t="n">
        <v>1121</v>
      </c>
      <c r="H508" s="23" t="n">
        <v>41.8</v>
      </c>
      <c r="I508" s="23" t="n">
        <v>46857.8</v>
      </c>
      <c r="J508" s="23" t="n">
        <v>29258.1</v>
      </c>
      <c r="K508">
        <f>IF(OR(COUNTIF($A$5:A508,A508)&gt;1,G508&lt;0,C508="",B508&lt;'Work 1'!$C$6,B508&gt;'Work 1'!$C$7,H508&gt;'Work 1'!$C$8*AVERAGEIF($F$5:$F$1014,F508,$H$5:$H$1014)),"Excl",IF(B508&gt;='Work 1'!$C$5,"LTM","Prior"))</f>
        <v/>
      </c>
      <c r="L508">
        <f>I508-J508</f>
        <v/>
      </c>
    </row>
    <row r="509" ht="14.25" customHeight="1" s="54">
      <c r="A509" s="20" t="inlineStr">
        <is>
          <t>BH-40503</t>
        </is>
      </c>
      <c r="B509" s="21" t="n">
        <v>45809</v>
      </c>
      <c r="C509" s="20" t="inlineStr">
        <is>
          <t>C14</t>
        </is>
      </c>
      <c r="D509" s="20" t="inlineStr">
        <is>
          <t>Oak Hollow Foods</t>
        </is>
      </c>
      <c r="E509" s="20" t="inlineStr">
        <is>
          <t>Grocery</t>
        </is>
      </c>
      <c r="F509" s="20" t="inlineStr">
        <is>
          <t>Nut Butter</t>
        </is>
      </c>
      <c r="G509" s="22" t="n">
        <v>411</v>
      </c>
      <c r="H509" s="23" t="n">
        <v>55.6</v>
      </c>
      <c r="I509" s="23" t="n">
        <v>22851.6</v>
      </c>
      <c r="J509" s="23" t="n">
        <v>15782.4</v>
      </c>
      <c r="K509">
        <f>IF(OR(COUNTIF($A$5:A509,A509)&gt;1,G509&lt;0,C509="",B509&lt;'Work 1'!$C$6,B509&gt;'Work 1'!$C$7,H509&gt;'Work 1'!$C$8*AVERAGEIF($F$5:$F$1014,F509,$H$5:$H$1014)),"Excl",IF(B509&gt;='Work 1'!$C$5,"LTM","Prior"))</f>
        <v/>
      </c>
      <c r="L509">
        <f>I509-J509</f>
        <v/>
      </c>
    </row>
    <row r="510" ht="14.25" customHeight="1" s="54">
      <c r="A510" s="20" t="inlineStr">
        <is>
          <t>BH-40504</t>
        </is>
      </c>
      <c r="B510" s="21" t="n">
        <v>45809</v>
      </c>
      <c r="C510" s="20" t="inlineStr">
        <is>
          <t>C14</t>
        </is>
      </c>
      <c r="D510" s="20" t="inlineStr">
        <is>
          <t>Oak Hollow Foods</t>
        </is>
      </c>
      <c r="E510" s="20" t="inlineStr">
        <is>
          <t>Grocery</t>
        </is>
      </c>
      <c r="F510" s="20" t="inlineStr">
        <is>
          <t>Snack Bars</t>
        </is>
      </c>
      <c r="G510" s="22" t="n">
        <v>724</v>
      </c>
      <c r="H510" s="23" t="n">
        <v>32.4</v>
      </c>
      <c r="I510" s="23" t="n">
        <v>23457.6</v>
      </c>
      <c r="J510" s="23" t="n">
        <v>14335.2</v>
      </c>
      <c r="K510">
        <f>IF(OR(COUNTIF($A$5:A510,A510)&gt;1,G510&lt;0,C510="",B510&lt;'Work 1'!$C$6,B510&gt;'Work 1'!$C$7,H510&gt;'Work 1'!$C$8*AVERAGEIF($F$5:$F$1014,F510,$H$5:$H$1014)),"Excl",IF(B510&gt;='Work 1'!$C$5,"LTM","Prior"))</f>
        <v/>
      </c>
      <c r="L510">
        <f>I510-J510</f>
        <v/>
      </c>
    </row>
    <row r="511" ht="14.25" customHeight="1" s="54">
      <c r="A511" s="20" t="inlineStr">
        <is>
          <t>BH-40505</t>
        </is>
      </c>
      <c r="B511" s="21" t="n">
        <v>45809</v>
      </c>
      <c r="C511" s="20" t="inlineStr">
        <is>
          <t>C15</t>
        </is>
      </c>
      <c r="D511" s="20" t="inlineStr">
        <is>
          <t>Prairie Fresh</t>
        </is>
      </c>
      <c r="E511" s="20" t="inlineStr">
        <is>
          <t>Grocery</t>
        </is>
      </c>
      <c r="F511" s="20" t="inlineStr">
        <is>
          <t>Granola</t>
        </is>
      </c>
      <c r="G511" s="22" t="n">
        <v>1259</v>
      </c>
      <c r="H511" s="23" t="n">
        <v>41.8</v>
      </c>
      <c r="I511" s="23" t="n">
        <v>52626.2</v>
      </c>
      <c r="J511" s="23" t="n">
        <v>32859.9</v>
      </c>
      <c r="K511">
        <f>IF(OR(COUNTIF($A$5:A511,A511)&gt;1,G511&lt;0,C511="",B511&lt;'Work 1'!$C$6,B511&gt;'Work 1'!$C$7,H511&gt;'Work 1'!$C$8*AVERAGEIF($F$5:$F$1014,F511,$H$5:$H$1014)),"Excl",IF(B511&gt;='Work 1'!$C$5,"LTM","Prior"))</f>
        <v/>
      </c>
      <c r="L511">
        <f>I511-J511</f>
        <v/>
      </c>
    </row>
    <row r="512" ht="14.25" customHeight="1" s="54">
      <c r="A512" s="20" t="inlineStr">
        <is>
          <t>BH-40506</t>
        </is>
      </c>
      <c r="B512" s="21" t="n">
        <v>45809</v>
      </c>
      <c r="C512" s="20" t="inlineStr">
        <is>
          <t>C15</t>
        </is>
      </c>
      <c r="D512" s="20" t="inlineStr">
        <is>
          <t>Prairie Fresh</t>
        </is>
      </c>
      <c r="E512" s="20" t="inlineStr">
        <is>
          <t>Grocery</t>
        </is>
      </c>
      <c r="F512" s="20" t="inlineStr">
        <is>
          <t>Snack Bars</t>
        </is>
      </c>
      <c r="G512" s="22" t="n">
        <v>971</v>
      </c>
      <c r="H512" s="23" t="n">
        <v>32.4</v>
      </c>
      <c r="I512" s="23" t="n">
        <v>31460.4</v>
      </c>
      <c r="J512" s="23" t="n">
        <v>19225.8</v>
      </c>
      <c r="K512">
        <f>IF(OR(COUNTIF($A$5:A512,A512)&gt;1,G512&lt;0,C512="",B512&lt;'Work 1'!$C$6,B512&gt;'Work 1'!$C$7,H512&gt;'Work 1'!$C$8*AVERAGEIF($F$5:$F$1014,F512,$H$5:$H$1014)),"Excl",IF(B512&gt;='Work 1'!$C$5,"LTM","Prior"))</f>
        <v/>
      </c>
      <c r="L512">
        <f>I512-J512</f>
        <v/>
      </c>
    </row>
    <row r="513" ht="14.25" customHeight="1" s="54">
      <c r="A513" s="20" t="inlineStr">
        <is>
          <t>BH-40507</t>
        </is>
      </c>
      <c r="B513" s="21" t="n">
        <v>45809</v>
      </c>
      <c r="C513" s="20" t="inlineStr">
        <is>
          <t>C16</t>
        </is>
      </c>
      <c r="D513" s="20" t="inlineStr">
        <is>
          <t>Bay Street Market</t>
        </is>
      </c>
      <c r="E513" s="20" t="inlineStr">
        <is>
          <t>Grocery</t>
        </is>
      </c>
      <c r="F513" s="20" t="inlineStr">
        <is>
          <t>Granola</t>
        </is>
      </c>
      <c r="G513" s="22" t="n">
        <v>908</v>
      </c>
      <c r="H513" s="23" t="n">
        <v>41.8</v>
      </c>
      <c r="I513" s="23" t="n">
        <v>37954.4</v>
      </c>
      <c r="J513" s="23" t="n">
        <v>23698.8</v>
      </c>
      <c r="K513">
        <f>IF(OR(COUNTIF($A$5:A513,A513)&gt;1,G513&lt;0,C513="",B513&lt;'Work 1'!$C$6,B513&gt;'Work 1'!$C$7,H513&gt;'Work 1'!$C$8*AVERAGEIF($F$5:$F$1014,F513,$H$5:$H$1014)),"Excl",IF(B513&gt;='Work 1'!$C$5,"LTM","Prior"))</f>
        <v/>
      </c>
      <c r="L513">
        <f>I513-J513</f>
        <v/>
      </c>
    </row>
    <row r="514" ht="14.25" customHeight="1" s="54">
      <c r="A514" s="20" t="inlineStr">
        <is>
          <t>BH-40508</t>
        </is>
      </c>
      <c r="B514" s="21" t="n">
        <v>45809</v>
      </c>
      <c r="C514" s="20" t="inlineStr">
        <is>
          <t>C16</t>
        </is>
      </c>
      <c r="D514" s="20" t="inlineStr">
        <is>
          <t>Bay Street Market</t>
        </is>
      </c>
      <c r="E514" s="20" t="inlineStr">
        <is>
          <t>Grocery</t>
        </is>
      </c>
      <c r="F514" s="20" t="inlineStr">
        <is>
          <t>Nut Butter</t>
        </is>
      </c>
      <c r="G514" s="22" t="n">
        <v>576</v>
      </c>
      <c r="H514" s="23" t="n">
        <v>55.6</v>
      </c>
      <c r="I514" s="23" t="n">
        <v>32025.6</v>
      </c>
      <c r="J514" s="23" t="n">
        <v>22118.4</v>
      </c>
      <c r="K514">
        <f>IF(OR(COUNTIF($A$5:A514,A514)&gt;1,G514&lt;0,C514="",B514&lt;'Work 1'!$C$6,B514&gt;'Work 1'!$C$7,H514&gt;'Work 1'!$C$8*AVERAGEIF($F$5:$F$1014,F514,$H$5:$H$1014)),"Excl",IF(B514&gt;='Work 1'!$C$5,"LTM","Prior"))</f>
        <v/>
      </c>
      <c r="L514">
        <f>I514-J514</f>
        <v/>
      </c>
    </row>
    <row r="515" ht="14.25" customHeight="1" s="54">
      <c r="A515" s="20" t="inlineStr">
        <is>
          <t>BH-40509</t>
        </is>
      </c>
      <c r="B515" s="21" t="n">
        <v>45809</v>
      </c>
      <c r="C515" s="20" t="inlineStr">
        <is>
          <t>C18</t>
        </is>
      </c>
      <c r="D515" s="20" t="inlineStr">
        <is>
          <t>Hillcrest Food Co.</t>
        </is>
      </c>
      <c r="E515" s="20" t="inlineStr">
        <is>
          <t>Grocery</t>
        </is>
      </c>
      <c r="F515" s="20" t="inlineStr">
        <is>
          <t>Granola</t>
        </is>
      </c>
      <c r="G515" s="22" t="n">
        <v>947</v>
      </c>
      <c r="H515" s="23" t="n">
        <v>41.8</v>
      </c>
      <c r="I515" s="23" t="n">
        <v>39584.6</v>
      </c>
      <c r="J515" s="23" t="n">
        <v>24716.7</v>
      </c>
      <c r="K515">
        <f>IF(OR(COUNTIF($A$5:A515,A515)&gt;1,G515&lt;0,C515="",B515&lt;'Work 1'!$C$6,B515&gt;'Work 1'!$C$7,H515&gt;'Work 1'!$C$8*AVERAGEIF($F$5:$F$1014,F515,$H$5:$H$1014)),"Excl",IF(B515&gt;='Work 1'!$C$5,"LTM","Prior"))</f>
        <v/>
      </c>
      <c r="L515">
        <f>I515-J515</f>
        <v/>
      </c>
    </row>
    <row r="516" ht="14.25" customHeight="1" s="54">
      <c r="A516" s="20" t="inlineStr">
        <is>
          <t>BH-40510</t>
        </is>
      </c>
      <c r="B516" s="21" t="n">
        <v>45809</v>
      </c>
      <c r="C516" s="20" t="inlineStr">
        <is>
          <t>C18</t>
        </is>
      </c>
      <c r="D516" s="20" t="inlineStr">
        <is>
          <t>Hillcrest Food Co.</t>
        </is>
      </c>
      <c r="E516" s="20" t="inlineStr">
        <is>
          <t>Grocery</t>
        </is>
      </c>
      <c r="F516" s="20" t="inlineStr">
        <is>
          <t>Nut Butter</t>
        </is>
      </c>
      <c r="G516" s="22" t="n">
        <v>417</v>
      </c>
      <c r="H516" s="23" t="n">
        <v>55.6</v>
      </c>
      <c r="I516" s="23" t="n">
        <v>23185.2</v>
      </c>
      <c r="J516" s="23" t="n">
        <v>16012.8</v>
      </c>
      <c r="K516">
        <f>IF(OR(COUNTIF($A$5:A516,A516)&gt;1,G516&lt;0,C516="",B516&lt;'Work 1'!$C$6,B516&gt;'Work 1'!$C$7,H516&gt;'Work 1'!$C$8*AVERAGEIF($F$5:$F$1014,F516,$H$5:$H$1014)),"Excl",IF(B516&gt;='Work 1'!$C$5,"LTM","Prior"))</f>
        <v/>
      </c>
      <c r="L516">
        <f>I516-J516</f>
        <v/>
      </c>
    </row>
    <row r="517" ht="14.25" customHeight="1" s="54">
      <c r="A517" s="20" t="inlineStr">
        <is>
          <t>BH-40511</t>
        </is>
      </c>
      <c r="B517" s="21" t="n">
        <v>45839</v>
      </c>
      <c r="C517" s="20" t="inlineStr">
        <is>
          <t>C01</t>
        </is>
      </c>
      <c r="D517" s="20" t="inlineStr">
        <is>
          <t>Northfield Markets</t>
        </is>
      </c>
      <c r="E517" s="20" t="inlineStr">
        <is>
          <t>Grocery</t>
        </is>
      </c>
      <c r="F517" s="20" t="inlineStr">
        <is>
          <t>Granola</t>
        </is>
      </c>
      <c r="G517" s="22" t="n">
        <v>14001</v>
      </c>
      <c r="H517" s="23" t="n">
        <v>39.61</v>
      </c>
      <c r="I517" s="23" t="n">
        <v>554579.61</v>
      </c>
      <c r="J517" s="23" t="n">
        <v>377326.95</v>
      </c>
      <c r="K517">
        <f>IF(OR(COUNTIF($A$5:A517,A517)&gt;1,G517&lt;0,C517="",B517&lt;'Work 1'!$C$6,B517&gt;'Work 1'!$C$7,H517&gt;'Work 1'!$C$8*AVERAGEIF($F$5:$F$1014,F517,$H$5:$H$1014)),"Excl",IF(B517&gt;='Work 1'!$C$5,"LTM","Prior"))</f>
        <v/>
      </c>
      <c r="L517">
        <f>I517-J517</f>
        <v/>
      </c>
    </row>
    <row r="518" ht="14.25" customHeight="1" s="54">
      <c r="A518" s="20" t="inlineStr">
        <is>
          <t>BH-40512</t>
        </is>
      </c>
      <c r="B518" s="21" t="n">
        <v>45839</v>
      </c>
      <c r="C518" s="20" t="inlineStr">
        <is>
          <t>C01</t>
        </is>
      </c>
      <c r="D518" s="20" t="inlineStr">
        <is>
          <t>Northfield Markets</t>
        </is>
      </c>
      <c r="E518" s="20" t="inlineStr">
        <is>
          <t>Grocery</t>
        </is>
      </c>
      <c r="F518" s="20" t="inlineStr">
        <is>
          <t>Nut Butter</t>
        </is>
      </c>
      <c r="G518" s="22" t="n">
        <v>6921</v>
      </c>
      <c r="H518" s="23" t="n">
        <v>52.67</v>
      </c>
      <c r="I518" s="23" t="n">
        <v>364529.07</v>
      </c>
      <c r="J518" s="23" t="n">
        <v>273379.5</v>
      </c>
      <c r="K518">
        <f>IF(OR(COUNTIF($A$5:A518,A518)&gt;1,G518&lt;0,C518="",B518&lt;'Work 1'!$C$6,B518&gt;'Work 1'!$C$7,H518&gt;'Work 1'!$C$8*AVERAGEIF($F$5:$F$1014,F518,$H$5:$H$1014)),"Excl",IF(B518&gt;='Work 1'!$C$5,"LTM","Prior"))</f>
        <v/>
      </c>
      <c r="L518">
        <f>I518-J518</f>
        <v/>
      </c>
    </row>
    <row r="519" ht="14.25" customHeight="1" s="54">
      <c r="A519" s="20" t="inlineStr">
        <is>
          <t>BH-40513</t>
        </is>
      </c>
      <c r="B519" s="21" t="n">
        <v>45839</v>
      </c>
      <c r="C519" s="20" t="inlineStr">
        <is>
          <t>C01</t>
        </is>
      </c>
      <c r="D519" s="20" t="inlineStr">
        <is>
          <t>Northfield Markets</t>
        </is>
      </c>
      <c r="E519" s="20" t="inlineStr">
        <is>
          <t>Grocery</t>
        </is>
      </c>
      <c r="F519" s="20" t="inlineStr">
        <is>
          <t>Snack Bars</t>
        </is>
      </c>
      <c r="G519" s="22" t="n">
        <v>10059</v>
      </c>
      <c r="H519" s="23" t="n">
        <v>30.68</v>
      </c>
      <c r="I519" s="23" t="n">
        <v>308610.12</v>
      </c>
      <c r="J519" s="23" t="n">
        <v>205706.55</v>
      </c>
      <c r="K519">
        <f>IF(OR(COUNTIF($A$5:A519,A519)&gt;1,G519&lt;0,C519="",B519&lt;'Work 1'!$C$6,B519&gt;'Work 1'!$C$7,H519&gt;'Work 1'!$C$8*AVERAGEIF($F$5:$F$1014,F519,$H$5:$H$1014)),"Excl",IF(B519&gt;='Work 1'!$C$5,"LTM","Prior"))</f>
        <v/>
      </c>
      <c r="L519">
        <f>I519-J519</f>
        <v/>
      </c>
    </row>
    <row r="520" ht="14.25" customHeight="1" s="54">
      <c r="A520" s="20" t="inlineStr">
        <is>
          <t>BH-40514</t>
        </is>
      </c>
      <c r="B520" s="21" t="n">
        <v>45839</v>
      </c>
      <c r="C520" s="20" t="inlineStr">
        <is>
          <t>C02</t>
        </is>
      </c>
      <c r="D520" s="20" t="inlineStr">
        <is>
          <t>Crestline Grocers</t>
        </is>
      </c>
      <c r="E520" s="20" t="inlineStr">
        <is>
          <t>Grocery</t>
        </is>
      </c>
      <c r="F520" s="20" t="inlineStr">
        <is>
          <t>Granola</t>
        </is>
      </c>
      <c r="G520" s="22" t="n">
        <v>3669</v>
      </c>
      <c r="H520" s="23" t="n">
        <v>41.76</v>
      </c>
      <c r="I520" s="23" t="n">
        <v>153217.44</v>
      </c>
      <c r="J520" s="23" t="n">
        <v>98879.55</v>
      </c>
      <c r="K520">
        <f>IF(OR(COUNTIF($A$5:A520,A520)&gt;1,G520&lt;0,C520="",B520&lt;'Work 1'!$C$6,B520&gt;'Work 1'!$C$7,H520&gt;'Work 1'!$C$8*AVERAGEIF($F$5:$F$1014,F520,$H$5:$H$1014)),"Excl",IF(B520&gt;='Work 1'!$C$5,"LTM","Prior"))</f>
        <v/>
      </c>
      <c r="L520">
        <f>I520-J520</f>
        <v/>
      </c>
    </row>
    <row r="521" ht="14.25" customHeight="1" s="54">
      <c r="A521" s="20" t="inlineStr">
        <is>
          <t>BH-40515</t>
        </is>
      </c>
      <c r="B521" s="21" t="n">
        <v>45839</v>
      </c>
      <c r="C521" s="20" t="inlineStr">
        <is>
          <t>C02</t>
        </is>
      </c>
      <c r="D521" s="20" t="inlineStr">
        <is>
          <t>Crestline Grocers</t>
        </is>
      </c>
      <c r="E521" s="20" t="inlineStr">
        <is>
          <t>Grocery</t>
        </is>
      </c>
      <c r="F521" s="20" t="inlineStr">
        <is>
          <t>Nut Butter</t>
        </is>
      </c>
      <c r="G521" s="22" t="n">
        <v>1861</v>
      </c>
      <c r="H521" s="23" t="n">
        <v>55.53</v>
      </c>
      <c r="I521" s="23" t="n">
        <v>103341.33</v>
      </c>
      <c r="J521" s="23" t="n">
        <v>73509.5</v>
      </c>
      <c r="K521">
        <f>IF(OR(COUNTIF($A$5:A521,A521)&gt;1,G521&lt;0,C521="",B521&lt;'Work 1'!$C$6,B521&gt;'Work 1'!$C$7,H521&gt;'Work 1'!$C$8*AVERAGEIF($F$5:$F$1014,F521,$H$5:$H$1014)),"Excl",IF(B521&gt;='Work 1'!$C$5,"LTM","Prior"))</f>
        <v/>
      </c>
      <c r="L521">
        <f>I521-J521</f>
        <v/>
      </c>
    </row>
    <row r="522" ht="14.25" customHeight="1" s="54">
      <c r="A522" s="20" t="inlineStr">
        <is>
          <t>BH-40516</t>
        </is>
      </c>
      <c r="B522" s="21" t="n">
        <v>45839</v>
      </c>
      <c r="C522" s="20" t="inlineStr">
        <is>
          <t>C02</t>
        </is>
      </c>
      <c r="D522" s="20" t="inlineStr">
        <is>
          <t>Crestline Grocers</t>
        </is>
      </c>
      <c r="E522" s="20" t="inlineStr">
        <is>
          <t>Grocery</t>
        </is>
      </c>
      <c r="F522" s="20" t="inlineStr">
        <is>
          <t>Snack Bars</t>
        </is>
      </c>
      <c r="G522" s="22" t="n">
        <v>3227</v>
      </c>
      <c r="H522" s="23" t="n">
        <v>32.35</v>
      </c>
      <c r="I522" s="23" t="n">
        <v>104393.45</v>
      </c>
      <c r="J522" s="23" t="n">
        <v>65992.14999999999</v>
      </c>
      <c r="K522">
        <f>IF(OR(COUNTIF($A$5:A522,A522)&gt;1,G522&lt;0,C522="",B522&lt;'Work 1'!$C$6,B522&gt;'Work 1'!$C$7,H522&gt;'Work 1'!$C$8*AVERAGEIF($F$5:$F$1014,F522,$H$5:$H$1014)),"Excl",IF(B522&gt;='Work 1'!$C$5,"LTM","Prior"))</f>
        <v/>
      </c>
      <c r="L522">
        <f>I522-J522</f>
        <v/>
      </c>
    </row>
    <row r="523" ht="14.25" customHeight="1" s="54">
      <c r="A523" s="20" t="inlineStr">
        <is>
          <t>BH-40517</t>
        </is>
      </c>
      <c r="B523" s="21" t="n">
        <v>45839</v>
      </c>
      <c r="C523" s="20" t="inlineStr">
        <is>
          <t>C03</t>
        </is>
      </c>
      <c r="D523" s="20" t="inlineStr">
        <is>
          <t>ValuClub Warehouse</t>
        </is>
      </c>
      <c r="E523" s="20" t="inlineStr">
        <is>
          <t>Club</t>
        </is>
      </c>
      <c r="F523" s="20" t="inlineStr">
        <is>
          <t>Granola</t>
        </is>
      </c>
      <c r="G523" s="22" t="n">
        <v>11907</v>
      </c>
      <c r="H523" s="23" t="n">
        <v>36.6</v>
      </c>
      <c r="I523" s="23" t="n">
        <v>435796.2</v>
      </c>
      <c r="J523" s="23" t="n">
        <v>320893.65</v>
      </c>
      <c r="K523">
        <f>IF(OR(COUNTIF($A$5:A523,A523)&gt;1,G523&lt;0,C523="",B523&lt;'Work 1'!$C$6,B523&gt;'Work 1'!$C$7,H523&gt;'Work 1'!$C$8*AVERAGEIF($F$5:$F$1014,F523,$H$5:$H$1014)),"Excl",IF(B523&gt;='Work 1'!$C$5,"LTM","Prior"))</f>
        <v/>
      </c>
      <c r="L523">
        <f>I523-J523</f>
        <v/>
      </c>
    </row>
    <row r="524" ht="14.25" customHeight="1" s="54">
      <c r="A524" s="20" t="inlineStr">
        <is>
          <t>BH-40518</t>
        </is>
      </c>
      <c r="B524" s="21" t="n">
        <v>45839</v>
      </c>
      <c r="C524" s="20" t="inlineStr">
        <is>
          <t>C03</t>
        </is>
      </c>
      <c r="D524" s="20" t="inlineStr">
        <is>
          <t>ValuClub Warehouse</t>
        </is>
      </c>
      <c r="E524" s="20" t="inlineStr">
        <is>
          <t>Club</t>
        </is>
      </c>
      <c r="F524" s="20" t="inlineStr">
        <is>
          <t>Snack Bars</t>
        </is>
      </c>
      <c r="G524" s="22" t="n">
        <v>11956</v>
      </c>
      <c r="H524" s="23" t="n">
        <v>25.35</v>
      </c>
      <c r="I524" s="23" t="n">
        <v>303084.6</v>
      </c>
      <c r="J524" s="23" t="n">
        <v>244500.2</v>
      </c>
      <c r="K524">
        <f>IF(OR(COUNTIF($A$5:A524,A524)&gt;1,G524&lt;0,C524="",B524&lt;'Work 1'!$C$6,B524&gt;'Work 1'!$C$7,H524&gt;'Work 1'!$C$8*AVERAGEIF($F$5:$F$1014,F524,$H$5:$H$1014)),"Excl",IF(B524&gt;='Work 1'!$C$5,"LTM","Prior"))</f>
        <v/>
      </c>
      <c r="L524">
        <f>I524-J524</f>
        <v/>
      </c>
    </row>
    <row r="525" ht="14.25" customHeight="1" s="54">
      <c r="A525" s="20" t="inlineStr">
        <is>
          <t>BH-40519</t>
        </is>
      </c>
      <c r="B525" s="21" t="n">
        <v>45839</v>
      </c>
      <c r="C525" s="20" t="inlineStr">
        <is>
          <t>C04</t>
        </is>
      </c>
      <c r="D525" s="20" t="inlineStr">
        <is>
          <t>Harvest Lane Co-op</t>
        </is>
      </c>
      <c r="E525" s="20" t="inlineStr">
        <is>
          <t>Grocery</t>
        </is>
      </c>
      <c r="F525" s="20" t="inlineStr">
        <is>
          <t>Granola</t>
        </is>
      </c>
      <c r="G525" s="22" t="n">
        <v>2625</v>
      </c>
      <c r="H525" s="23" t="n">
        <v>43.05</v>
      </c>
      <c r="I525" s="23" t="n">
        <v>113006.25</v>
      </c>
      <c r="J525" s="23" t="n">
        <v>70743.75</v>
      </c>
      <c r="K525">
        <f>IF(OR(COUNTIF($A$5:A525,A525)&gt;1,G525&lt;0,C525="",B525&lt;'Work 1'!$C$6,B525&gt;'Work 1'!$C$7,H525&gt;'Work 1'!$C$8*AVERAGEIF($F$5:$F$1014,F525,$H$5:$H$1014)),"Excl",IF(B525&gt;='Work 1'!$C$5,"LTM","Prior"))</f>
        <v/>
      </c>
      <c r="L525">
        <f>I525-J525</f>
        <v/>
      </c>
    </row>
    <row r="526" ht="14.25" customHeight="1" s="54">
      <c r="A526" s="20" t="inlineStr">
        <is>
          <t>BH-40520</t>
        </is>
      </c>
      <c r="B526" s="21" t="n">
        <v>45839</v>
      </c>
      <c r="C526" s="20" t="inlineStr">
        <is>
          <t>C04</t>
        </is>
      </c>
      <c r="D526" s="20" t="inlineStr">
        <is>
          <t>Harvest Lane Co-op</t>
        </is>
      </c>
      <c r="E526" s="20" t="inlineStr">
        <is>
          <t>Grocery</t>
        </is>
      </c>
      <c r="F526" s="20" t="inlineStr">
        <is>
          <t>Nut Butter</t>
        </is>
      </c>
      <c r="G526" s="22" t="n">
        <v>1430</v>
      </c>
      <c r="H526" s="23" t="n">
        <v>57.25</v>
      </c>
      <c r="I526" s="23" t="n">
        <v>81867.5</v>
      </c>
      <c r="J526" s="23" t="n">
        <v>56485</v>
      </c>
      <c r="K526">
        <f>IF(OR(COUNTIF($A$5:A526,A526)&gt;1,G526&lt;0,C526="",B526&lt;'Work 1'!$C$6,B526&gt;'Work 1'!$C$7,H526&gt;'Work 1'!$C$8*AVERAGEIF($F$5:$F$1014,F526,$H$5:$H$1014)),"Excl",IF(B526&gt;='Work 1'!$C$5,"LTM","Prior"))</f>
        <v/>
      </c>
      <c r="L526">
        <f>I526-J526</f>
        <v/>
      </c>
    </row>
    <row r="527" ht="14.25" customHeight="1" s="54">
      <c r="A527" s="20" t="inlineStr">
        <is>
          <t>BH-40521</t>
        </is>
      </c>
      <c r="B527" s="21" t="n">
        <v>45839</v>
      </c>
      <c r="C527" s="20" t="inlineStr">
        <is>
          <t>C04</t>
        </is>
      </c>
      <c r="D527" s="20" t="inlineStr">
        <is>
          <t>Harvest Lane Co-op</t>
        </is>
      </c>
      <c r="E527" s="20" t="inlineStr">
        <is>
          <t>Grocery</t>
        </is>
      </c>
      <c r="F527" s="20" t="inlineStr">
        <is>
          <t>Snack Bars</t>
        </is>
      </c>
      <c r="G527" s="22" t="n">
        <v>1707</v>
      </c>
      <c r="H527" s="23" t="n">
        <v>33.35</v>
      </c>
      <c r="I527" s="23" t="n">
        <v>56928.45</v>
      </c>
      <c r="J527" s="23" t="n">
        <v>34908.15</v>
      </c>
      <c r="K527">
        <f>IF(OR(COUNTIF($A$5:A527,A527)&gt;1,G527&lt;0,C527="",B527&lt;'Work 1'!$C$6,B527&gt;'Work 1'!$C$7,H527&gt;'Work 1'!$C$8*AVERAGEIF($F$5:$F$1014,F527,$H$5:$H$1014)),"Excl",IF(B527&gt;='Work 1'!$C$5,"LTM","Prior"))</f>
        <v/>
      </c>
      <c r="L527">
        <f>I527-J527</f>
        <v/>
      </c>
    </row>
    <row r="528" ht="14.25" customHeight="1" s="54">
      <c r="A528" s="20" t="inlineStr">
        <is>
          <t>BH-40522</t>
        </is>
      </c>
      <c r="B528" s="21" t="n">
        <v>45839</v>
      </c>
      <c r="C528" s="20" t="inlineStr">
        <is>
          <t>C05</t>
        </is>
      </c>
      <c r="D528" s="20" t="inlineStr">
        <is>
          <t>Pioneer Foods Distribution</t>
        </is>
      </c>
      <c r="E528" s="20" t="inlineStr">
        <is>
          <t>Grocery</t>
        </is>
      </c>
      <c r="F528" s="20" t="inlineStr">
        <is>
          <t>Granola</t>
        </is>
      </c>
      <c r="G528" s="22" t="n">
        <v>3141</v>
      </c>
      <c r="H528" s="23" t="n">
        <v>38.74</v>
      </c>
      <c r="I528" s="23" t="n">
        <v>121682.34</v>
      </c>
      <c r="J528" s="23" t="n">
        <v>84649.95</v>
      </c>
      <c r="K528">
        <f>IF(OR(COUNTIF($A$5:A528,A528)&gt;1,G528&lt;0,C528="",B528&lt;'Work 1'!$C$6,B528&gt;'Work 1'!$C$7,H528&gt;'Work 1'!$C$8*AVERAGEIF($F$5:$F$1014,F528,$H$5:$H$1014)),"Excl",IF(B528&gt;='Work 1'!$C$5,"LTM","Prior"))</f>
        <v/>
      </c>
      <c r="L528">
        <f>I528-J528</f>
        <v/>
      </c>
    </row>
    <row r="529" ht="14.25" customHeight="1" s="54">
      <c r="A529" s="20" t="inlineStr">
        <is>
          <t>BH-40523</t>
        </is>
      </c>
      <c r="B529" s="21" t="n">
        <v>45839</v>
      </c>
      <c r="C529" s="20" t="inlineStr">
        <is>
          <t>C05</t>
        </is>
      </c>
      <c r="D529" s="20" t="inlineStr">
        <is>
          <t>Pioneer Foods Distribution</t>
        </is>
      </c>
      <c r="E529" s="20" t="inlineStr">
        <is>
          <t>Grocery</t>
        </is>
      </c>
      <c r="F529" s="20" t="inlineStr">
        <is>
          <t>Nut Butter</t>
        </is>
      </c>
      <c r="G529" s="22" t="n">
        <v>1756</v>
      </c>
      <c r="H529" s="23" t="n">
        <v>51.52</v>
      </c>
      <c r="I529" s="23" t="n">
        <v>90469.12</v>
      </c>
      <c r="J529" s="23" t="n">
        <v>69362</v>
      </c>
      <c r="K529">
        <f>IF(OR(COUNTIF($A$5:A529,A529)&gt;1,G529&lt;0,C529="",B529&lt;'Work 1'!$C$6,B529&gt;'Work 1'!$C$7,H529&gt;'Work 1'!$C$8*AVERAGEIF($F$5:$F$1014,F529,$H$5:$H$1014)),"Excl",IF(B529&gt;='Work 1'!$C$5,"LTM","Prior"))</f>
        <v/>
      </c>
      <c r="L529">
        <f>I529-J529</f>
        <v/>
      </c>
    </row>
    <row r="530" ht="14.25" customHeight="1" s="54">
      <c r="A530" s="20" t="inlineStr">
        <is>
          <t>BH-40524</t>
        </is>
      </c>
      <c r="B530" s="21" t="n">
        <v>45839</v>
      </c>
      <c r="C530" s="20" t="inlineStr">
        <is>
          <t>C05</t>
        </is>
      </c>
      <c r="D530" s="20" t="inlineStr">
        <is>
          <t>Pioneer Foods Distribution</t>
        </is>
      </c>
      <c r="E530" s="20" t="inlineStr">
        <is>
          <t>Grocery</t>
        </is>
      </c>
      <c r="F530" s="20" t="inlineStr">
        <is>
          <t>Snack Bars</t>
        </is>
      </c>
      <c r="G530" s="22" t="n">
        <v>2889</v>
      </c>
      <c r="H530" s="23" t="n">
        <v>30.02</v>
      </c>
      <c r="I530" s="23" t="n">
        <v>86727.78</v>
      </c>
      <c r="J530" s="23" t="n">
        <v>59080.05</v>
      </c>
      <c r="K530">
        <f>IF(OR(COUNTIF($A$5:A530,A530)&gt;1,G530&lt;0,C530="",B530&lt;'Work 1'!$C$6,B530&gt;'Work 1'!$C$7,H530&gt;'Work 1'!$C$8*AVERAGEIF($F$5:$F$1014,F530,$H$5:$H$1014)),"Excl",IF(B530&gt;='Work 1'!$C$5,"LTM","Prior"))</f>
        <v/>
      </c>
      <c r="L530">
        <f>I530-J530</f>
        <v/>
      </c>
    </row>
    <row r="531" ht="14.25" customHeight="1" s="54">
      <c r="A531" s="20" t="inlineStr">
        <is>
          <t>BH-40525</t>
        </is>
      </c>
      <c r="B531" s="21" t="n">
        <v>45839</v>
      </c>
      <c r="C531" s="20" t="inlineStr">
        <is>
          <t>C06</t>
        </is>
      </c>
      <c r="D531" s="20" t="inlineStr">
        <is>
          <t>Summit Club Stores</t>
        </is>
      </c>
      <c r="E531" s="20" t="inlineStr">
        <is>
          <t>Club</t>
        </is>
      </c>
      <c r="F531" s="20" t="inlineStr">
        <is>
          <t>Granola</t>
        </is>
      </c>
      <c r="G531" s="22" t="n">
        <v>4662</v>
      </c>
      <c r="H531" s="23" t="n">
        <v>36.6</v>
      </c>
      <c r="I531" s="23" t="n">
        <v>170629.2</v>
      </c>
      <c r="J531" s="23" t="n">
        <v>125640.9</v>
      </c>
      <c r="K531">
        <f>IF(OR(COUNTIF($A$5:A531,A531)&gt;1,G531&lt;0,C531="",B531&lt;'Work 1'!$C$6,B531&gt;'Work 1'!$C$7,H531&gt;'Work 1'!$C$8*AVERAGEIF($F$5:$F$1014,F531,$H$5:$H$1014)),"Excl",IF(B531&gt;='Work 1'!$C$5,"LTM","Prior"))</f>
        <v/>
      </c>
      <c r="L531">
        <f>I531-J531</f>
        <v/>
      </c>
    </row>
    <row r="532" ht="14.25" customHeight="1" s="54">
      <c r="A532" s="20" t="inlineStr">
        <is>
          <t>BH-40526</t>
        </is>
      </c>
      <c r="B532" s="21" t="n">
        <v>45839</v>
      </c>
      <c r="C532" s="20" t="inlineStr">
        <is>
          <t>C06</t>
        </is>
      </c>
      <c r="D532" s="20" t="inlineStr">
        <is>
          <t>Summit Club Stores</t>
        </is>
      </c>
      <c r="E532" s="20" t="inlineStr">
        <is>
          <t>Club</t>
        </is>
      </c>
      <c r="F532" s="20" t="inlineStr">
        <is>
          <t>Nut Butter</t>
        </is>
      </c>
      <c r="G532" s="22" t="n">
        <v>2429</v>
      </c>
      <c r="H532" s="23" t="n">
        <v>48.75</v>
      </c>
      <c r="I532" s="23" t="n">
        <v>118413.75</v>
      </c>
      <c r="J532" s="23" t="n">
        <v>95945.5</v>
      </c>
      <c r="K532">
        <f>IF(OR(COUNTIF($A$5:A532,A532)&gt;1,G532&lt;0,C532="",B532&lt;'Work 1'!$C$6,B532&gt;'Work 1'!$C$7,H532&gt;'Work 1'!$C$8*AVERAGEIF($F$5:$F$1014,F532,$H$5:$H$1014)),"Excl",IF(B532&gt;='Work 1'!$C$5,"LTM","Prior"))</f>
        <v/>
      </c>
      <c r="L532">
        <f>I532-J532</f>
        <v/>
      </c>
    </row>
    <row r="533" ht="14.25" customHeight="1" s="54">
      <c r="A533" s="20" t="inlineStr">
        <is>
          <t>BH-40527</t>
        </is>
      </c>
      <c r="B533" s="21" t="n">
        <v>45839</v>
      </c>
      <c r="C533" s="20" t="inlineStr">
        <is>
          <t>C07</t>
        </is>
      </c>
      <c r="D533" s="20" t="inlineStr">
        <is>
          <t>Bramble Hill Online Store</t>
        </is>
      </c>
      <c r="E533" s="20" t="inlineStr">
        <is>
          <t>Online</t>
        </is>
      </c>
      <c r="F533" s="20" t="inlineStr">
        <is>
          <t>Granola</t>
        </is>
      </c>
      <c r="G533" s="22" t="n">
        <v>3224</v>
      </c>
      <c r="H533" s="23" t="n">
        <v>49.4</v>
      </c>
      <c r="I533" s="23" t="n">
        <v>159265.6</v>
      </c>
      <c r="J533" s="23" t="n">
        <v>86886.8</v>
      </c>
      <c r="K533">
        <f>IF(OR(COUNTIF($A$5:A533,A533)&gt;1,G533&lt;0,C533="",B533&lt;'Work 1'!$C$6,B533&gt;'Work 1'!$C$7,H533&gt;'Work 1'!$C$8*AVERAGEIF($F$5:$F$1014,F533,$H$5:$H$1014)),"Excl",IF(B533&gt;='Work 1'!$C$5,"LTM","Prior"))</f>
        <v/>
      </c>
      <c r="L533">
        <f>I533-J533</f>
        <v/>
      </c>
    </row>
    <row r="534" ht="14.25" customHeight="1" s="54">
      <c r="A534" s="20" t="inlineStr">
        <is>
          <t>BH-40528</t>
        </is>
      </c>
      <c r="B534" s="21" t="n">
        <v>45839</v>
      </c>
      <c r="C534" s="20" t="inlineStr">
        <is>
          <t>C07</t>
        </is>
      </c>
      <c r="D534" s="20" t="inlineStr">
        <is>
          <t>Bramble Hill Online Store</t>
        </is>
      </c>
      <c r="E534" s="20" t="inlineStr">
        <is>
          <t>Online</t>
        </is>
      </c>
      <c r="F534" s="20" t="inlineStr">
        <is>
          <t>Nut Butter</t>
        </is>
      </c>
      <c r="G534" s="22" t="n">
        <v>1870</v>
      </c>
      <c r="H534" s="23" t="n">
        <v>64.40000000000001</v>
      </c>
      <c r="I534" s="23" t="n">
        <v>120428</v>
      </c>
      <c r="J534" s="23" t="n">
        <v>73865</v>
      </c>
      <c r="K534">
        <f>IF(OR(COUNTIF($A$5:A534,A534)&gt;1,G534&lt;0,C534="",B534&lt;'Work 1'!$C$6,B534&gt;'Work 1'!$C$7,H534&gt;'Work 1'!$C$8*AVERAGEIF($F$5:$F$1014,F534,$H$5:$H$1014)),"Excl",IF(B534&gt;='Work 1'!$C$5,"LTM","Prior"))</f>
        <v/>
      </c>
      <c r="L534">
        <f>I534-J534</f>
        <v/>
      </c>
    </row>
    <row r="535" ht="14.25" customHeight="1" s="54">
      <c r="A535" s="20" t="inlineStr">
        <is>
          <t>BH-40529</t>
        </is>
      </c>
      <c r="B535" s="21" t="n">
        <v>45839</v>
      </c>
      <c r="C535" s="20" t="inlineStr">
        <is>
          <t>C07</t>
        </is>
      </c>
      <c r="D535" s="20" t="inlineStr">
        <is>
          <t>Bramble Hill Online Store</t>
        </is>
      </c>
      <c r="E535" s="20" t="inlineStr">
        <is>
          <t>Online</t>
        </is>
      </c>
      <c r="F535" s="20" t="inlineStr">
        <is>
          <t>Snack Bars</t>
        </is>
      </c>
      <c r="G535" s="22" t="n">
        <v>2341</v>
      </c>
      <c r="H535" s="23" t="n">
        <v>39.3</v>
      </c>
      <c r="I535" s="23" t="n">
        <v>92001.3</v>
      </c>
      <c r="J535" s="23" t="n">
        <v>47873.45</v>
      </c>
      <c r="K535">
        <f>IF(OR(COUNTIF($A$5:A535,A535)&gt;1,G535&lt;0,C535="",B535&lt;'Work 1'!$C$6,B535&gt;'Work 1'!$C$7,H535&gt;'Work 1'!$C$8*AVERAGEIF($F$5:$F$1014,F535,$H$5:$H$1014)),"Excl",IF(B535&gt;='Work 1'!$C$5,"LTM","Prior"))</f>
        <v/>
      </c>
      <c r="L535">
        <f>I535-J535</f>
        <v/>
      </c>
    </row>
    <row r="536" ht="14.25" customHeight="1" s="54">
      <c r="A536" s="20" t="inlineStr">
        <is>
          <t>BH-40530</t>
        </is>
      </c>
      <c r="B536" s="21" t="n">
        <v>45839</v>
      </c>
      <c r="C536" s="20" t="inlineStr">
        <is>
          <t>C08</t>
        </is>
      </c>
      <c r="D536" s="20" t="inlineStr">
        <is>
          <t>Online Marketplace</t>
        </is>
      </c>
      <c r="E536" s="20" t="inlineStr">
        <is>
          <t>Online</t>
        </is>
      </c>
      <c r="F536" s="20" t="inlineStr">
        <is>
          <t>Granola</t>
        </is>
      </c>
      <c r="G536" s="22" t="n">
        <v>3347</v>
      </c>
      <c r="H536" s="23" t="n">
        <v>43.47</v>
      </c>
      <c r="I536" s="23" t="n">
        <v>145494.09</v>
      </c>
      <c r="J536" s="23" t="n">
        <v>90201.64999999999</v>
      </c>
      <c r="K536">
        <f>IF(OR(COUNTIF($A$5:A536,A536)&gt;1,G536&lt;0,C536="",B536&lt;'Work 1'!$C$6,B536&gt;'Work 1'!$C$7,H536&gt;'Work 1'!$C$8*AVERAGEIF($F$5:$F$1014,F536,$H$5:$H$1014)),"Excl",IF(B536&gt;='Work 1'!$C$5,"LTM","Prior"))</f>
        <v/>
      </c>
      <c r="L536">
        <f>I536-J536</f>
        <v/>
      </c>
    </row>
    <row r="537" ht="14.25" customHeight="1" s="54">
      <c r="A537" s="20" t="inlineStr">
        <is>
          <t>BH-40531</t>
        </is>
      </c>
      <c r="B537" s="21" t="n">
        <v>45839</v>
      </c>
      <c r="C537" s="20" t="inlineStr">
        <is>
          <t>C08</t>
        </is>
      </c>
      <c r="D537" s="20" t="inlineStr">
        <is>
          <t>Online Marketplace</t>
        </is>
      </c>
      <c r="E537" s="20" t="inlineStr">
        <is>
          <t>Online</t>
        </is>
      </c>
      <c r="F537" s="20" t="inlineStr">
        <is>
          <t>Nut Butter</t>
        </is>
      </c>
      <c r="G537" s="22" t="n">
        <v>1735</v>
      </c>
      <c r="H537" s="23" t="n">
        <v>56.67</v>
      </c>
      <c r="I537" s="23" t="n">
        <v>98322.45</v>
      </c>
      <c r="J537" s="23" t="n">
        <v>68532.5</v>
      </c>
      <c r="K537">
        <f>IF(OR(COUNTIF($A$5:A537,A537)&gt;1,G537&lt;0,C537="",B537&lt;'Work 1'!$C$6,B537&gt;'Work 1'!$C$7,H537&gt;'Work 1'!$C$8*AVERAGEIF($F$5:$F$1014,F537,$H$5:$H$1014)),"Excl",IF(B537&gt;='Work 1'!$C$5,"LTM","Prior"))</f>
        <v/>
      </c>
      <c r="L537">
        <f>I537-J537</f>
        <v/>
      </c>
    </row>
    <row r="538" ht="14.25" customHeight="1" s="54">
      <c r="A538" s="20" t="inlineStr">
        <is>
          <t>BH-40532</t>
        </is>
      </c>
      <c r="B538" s="21" t="n">
        <v>45839</v>
      </c>
      <c r="C538" s="20" t="inlineStr">
        <is>
          <t>C08</t>
        </is>
      </c>
      <c r="D538" s="20" t="inlineStr">
        <is>
          <t>Online Marketplace</t>
        </is>
      </c>
      <c r="E538" s="20" t="inlineStr">
        <is>
          <t>Online</t>
        </is>
      </c>
      <c r="F538" s="20" t="inlineStr">
        <is>
          <t>Snack Bars</t>
        </is>
      </c>
      <c r="G538" s="22" t="n">
        <v>2724</v>
      </c>
      <c r="H538" s="23" t="n">
        <v>34.58</v>
      </c>
      <c r="I538" s="23" t="n">
        <v>94195.92</v>
      </c>
      <c r="J538" s="23" t="n">
        <v>55705.8</v>
      </c>
      <c r="K538">
        <f>IF(OR(COUNTIF($A$5:A538,A538)&gt;1,G538&lt;0,C538="",B538&lt;'Work 1'!$C$6,B538&gt;'Work 1'!$C$7,H538&gt;'Work 1'!$C$8*AVERAGEIF($F$5:$F$1014,F538,$H$5:$H$1014)),"Excl",IF(B538&gt;='Work 1'!$C$5,"LTM","Prior"))</f>
        <v/>
      </c>
      <c r="L538">
        <f>I538-J538</f>
        <v/>
      </c>
    </row>
    <row r="539" ht="14.25" customHeight="1" s="54">
      <c r="A539" s="20" t="inlineStr">
        <is>
          <t>BH-40533</t>
        </is>
      </c>
      <c r="B539" s="21" t="n">
        <v>45839</v>
      </c>
      <c r="C539" s="20" t="inlineStr">
        <is>
          <t>C09</t>
        </is>
      </c>
      <c r="D539" s="20" t="inlineStr">
        <is>
          <t>Maple Ridge Grocers</t>
        </is>
      </c>
      <c r="E539" s="20" t="inlineStr">
        <is>
          <t>Grocery</t>
        </is>
      </c>
      <c r="F539" s="20" t="inlineStr">
        <is>
          <t>Granola</t>
        </is>
      </c>
      <c r="G539" s="22" t="n">
        <v>1512</v>
      </c>
      <c r="H539" s="23" t="n">
        <v>43.05</v>
      </c>
      <c r="I539" s="23" t="n">
        <v>65091.6</v>
      </c>
      <c r="J539" s="23" t="n">
        <v>40748.4</v>
      </c>
      <c r="K539">
        <f>IF(OR(COUNTIF($A$5:A539,A539)&gt;1,G539&lt;0,C539="",B539&lt;'Work 1'!$C$6,B539&gt;'Work 1'!$C$7,H539&gt;'Work 1'!$C$8*AVERAGEIF($F$5:$F$1014,F539,$H$5:$H$1014)),"Excl",IF(B539&gt;='Work 1'!$C$5,"LTM","Prior"))</f>
        <v/>
      </c>
      <c r="L539">
        <f>I539-J539</f>
        <v/>
      </c>
    </row>
    <row r="540" ht="14.25" customHeight="1" s="54">
      <c r="A540" s="20" t="inlineStr">
        <is>
          <t>BH-40534</t>
        </is>
      </c>
      <c r="B540" s="21" t="n">
        <v>45839</v>
      </c>
      <c r="C540" s="20" t="inlineStr">
        <is>
          <t>C09</t>
        </is>
      </c>
      <c r="D540" s="20" t="inlineStr">
        <is>
          <t>Maple Ridge Grocers</t>
        </is>
      </c>
      <c r="E540" s="20" t="inlineStr">
        <is>
          <t>Grocery</t>
        </is>
      </c>
      <c r="F540" s="20" t="inlineStr">
        <is>
          <t>Snack Bars</t>
        </is>
      </c>
      <c r="G540" s="22" t="n">
        <v>1181</v>
      </c>
      <c r="H540" s="23" t="n">
        <v>33.35</v>
      </c>
      <c r="I540" s="23" t="n">
        <v>39386.35</v>
      </c>
      <c r="J540" s="23" t="n">
        <v>24151.45</v>
      </c>
      <c r="K540">
        <f>IF(OR(COUNTIF($A$5:A540,A540)&gt;1,G540&lt;0,C540="",B540&lt;'Work 1'!$C$6,B540&gt;'Work 1'!$C$7,H540&gt;'Work 1'!$C$8*AVERAGEIF($F$5:$F$1014,F540,$H$5:$H$1014)),"Excl",IF(B540&gt;='Work 1'!$C$5,"LTM","Prior"))</f>
        <v/>
      </c>
      <c r="L540">
        <f>I540-J540</f>
        <v/>
      </c>
    </row>
    <row r="541" ht="14.25" customHeight="1" s="54">
      <c r="A541" s="20" t="inlineStr">
        <is>
          <t>BH-40535</t>
        </is>
      </c>
      <c r="B541" s="21" t="n">
        <v>45839</v>
      </c>
      <c r="C541" s="20" t="inlineStr">
        <is>
          <t>C10</t>
        </is>
      </c>
      <c r="D541" s="20" t="inlineStr">
        <is>
          <t>Lakeshore Foods</t>
        </is>
      </c>
      <c r="E541" s="20" t="inlineStr">
        <is>
          <t>Grocery</t>
        </is>
      </c>
      <c r="F541" s="20" t="inlineStr">
        <is>
          <t>Granola</t>
        </is>
      </c>
      <c r="G541" s="22" t="n">
        <v>1266</v>
      </c>
      <c r="H541" s="23" t="n">
        <v>43.05</v>
      </c>
      <c r="I541" s="23" t="n">
        <v>54501.3</v>
      </c>
      <c r="J541" s="23" t="n">
        <v>34118.7</v>
      </c>
      <c r="K541">
        <f>IF(OR(COUNTIF($A$5:A541,A541)&gt;1,G541&lt;0,C541="",B541&lt;'Work 1'!$C$6,B541&gt;'Work 1'!$C$7,H541&gt;'Work 1'!$C$8*AVERAGEIF($F$5:$F$1014,F541,$H$5:$H$1014)),"Excl",IF(B541&gt;='Work 1'!$C$5,"LTM","Prior"))</f>
        <v/>
      </c>
      <c r="L541">
        <f>I541-J541</f>
        <v/>
      </c>
    </row>
    <row r="542" ht="14.25" customHeight="1" s="54">
      <c r="A542" s="20" t="inlineStr">
        <is>
          <t>BH-40536</t>
        </is>
      </c>
      <c r="B542" s="21" t="n">
        <v>45839</v>
      </c>
      <c r="C542" s="20" t="inlineStr">
        <is>
          <t>C10</t>
        </is>
      </c>
      <c r="D542" s="20" t="inlineStr">
        <is>
          <t>Lakeshore Foods</t>
        </is>
      </c>
      <c r="E542" s="20" t="inlineStr">
        <is>
          <t>Grocery</t>
        </is>
      </c>
      <c r="F542" s="20" t="inlineStr">
        <is>
          <t>Nut Butter</t>
        </is>
      </c>
      <c r="G542" s="22" t="n">
        <v>553</v>
      </c>
      <c r="H542" s="23" t="n">
        <v>57.25</v>
      </c>
      <c r="I542" s="23" t="n">
        <v>31659.25</v>
      </c>
      <c r="J542" s="23" t="n">
        <v>21843.5</v>
      </c>
      <c r="K542">
        <f>IF(OR(COUNTIF($A$5:A542,A542)&gt;1,G542&lt;0,C542="",B542&lt;'Work 1'!$C$6,B542&gt;'Work 1'!$C$7,H542&gt;'Work 1'!$C$8*AVERAGEIF($F$5:$F$1014,F542,$H$5:$H$1014)),"Excl",IF(B542&gt;='Work 1'!$C$5,"LTM","Prior"))</f>
        <v/>
      </c>
      <c r="L542">
        <f>I542-J542</f>
        <v/>
      </c>
    </row>
    <row r="543" ht="14.25" customHeight="1" s="54">
      <c r="A543" s="20" t="inlineStr">
        <is>
          <t>BH-40537</t>
        </is>
      </c>
      <c r="B543" s="21" t="n">
        <v>45839</v>
      </c>
      <c r="C543" s="20" t="inlineStr">
        <is>
          <t>C11</t>
        </is>
      </c>
      <c r="D543" s="20" t="inlineStr">
        <is>
          <t>Copper Valley Market</t>
        </is>
      </c>
      <c r="E543" s="20" t="inlineStr">
        <is>
          <t>Grocery</t>
        </is>
      </c>
      <c r="F543" s="20" t="inlineStr">
        <is>
          <t>Granola</t>
        </is>
      </c>
      <c r="G543" s="22" t="n">
        <v>1139</v>
      </c>
      <c r="H543" s="23" t="n">
        <v>43.05</v>
      </c>
      <c r="I543" s="23" t="n">
        <v>49033.95</v>
      </c>
      <c r="J543" s="23" t="n">
        <v>30696.05</v>
      </c>
      <c r="K543">
        <f>IF(OR(COUNTIF($A$5:A543,A543)&gt;1,G543&lt;0,C543="",B543&lt;'Work 1'!$C$6,B543&gt;'Work 1'!$C$7,H543&gt;'Work 1'!$C$8*AVERAGEIF($F$5:$F$1014,F543,$H$5:$H$1014)),"Excl",IF(B543&gt;='Work 1'!$C$5,"LTM","Prior"))</f>
        <v/>
      </c>
      <c r="L543">
        <f>I543-J543</f>
        <v/>
      </c>
    </row>
    <row r="544" ht="14.25" customHeight="1" s="54">
      <c r="A544" s="20" t="inlineStr">
        <is>
          <t>BH-40538</t>
        </is>
      </c>
      <c r="B544" s="21" t="n">
        <v>45839</v>
      </c>
      <c r="C544" s="20" t="inlineStr">
        <is>
          <t>C11</t>
        </is>
      </c>
      <c r="D544" s="20" t="inlineStr">
        <is>
          <t>Copper Valley Market</t>
        </is>
      </c>
      <c r="E544" s="20" t="inlineStr">
        <is>
          <t>Grocery</t>
        </is>
      </c>
      <c r="F544" s="20" t="inlineStr">
        <is>
          <t>Snack Bars</t>
        </is>
      </c>
      <c r="G544" s="22" t="n">
        <v>1252</v>
      </c>
      <c r="H544" s="23" t="n">
        <v>33.35</v>
      </c>
      <c r="I544" s="23" t="n">
        <v>41754.2</v>
      </c>
      <c r="J544" s="23" t="n">
        <v>25603.4</v>
      </c>
      <c r="K544">
        <f>IF(OR(COUNTIF($A$5:A544,A544)&gt;1,G544&lt;0,C544="",B544&lt;'Work 1'!$C$6,B544&gt;'Work 1'!$C$7,H544&gt;'Work 1'!$C$8*AVERAGEIF($F$5:$F$1014,F544,$H$5:$H$1014)),"Excl",IF(B544&gt;='Work 1'!$C$5,"LTM","Prior"))</f>
        <v/>
      </c>
      <c r="L544">
        <f>I544-J544</f>
        <v/>
      </c>
    </row>
    <row r="545" ht="14.25" customHeight="1" s="54">
      <c r="A545" s="20" t="inlineStr">
        <is>
          <t>BH-40539</t>
        </is>
      </c>
      <c r="B545" s="21" t="n">
        <v>45839</v>
      </c>
      <c r="C545" s="20" t="inlineStr">
        <is>
          <t>C12</t>
        </is>
      </c>
      <c r="D545" s="20" t="inlineStr">
        <is>
          <t>Riverbend Grocery</t>
        </is>
      </c>
      <c r="E545" s="20" t="inlineStr">
        <is>
          <t>Grocery</t>
        </is>
      </c>
      <c r="F545" s="20" t="inlineStr">
        <is>
          <t>Granola</t>
        </is>
      </c>
      <c r="G545" s="22" t="n">
        <v>1614</v>
      </c>
      <c r="H545" s="23" t="n">
        <v>43.05</v>
      </c>
      <c r="I545" s="23" t="n">
        <v>69482.7</v>
      </c>
      <c r="J545" s="23" t="n">
        <v>43497.3</v>
      </c>
      <c r="K545">
        <f>IF(OR(COUNTIF($A$5:A545,A545)&gt;1,G545&lt;0,C545="",B545&lt;'Work 1'!$C$6,B545&gt;'Work 1'!$C$7,H545&gt;'Work 1'!$C$8*AVERAGEIF($F$5:$F$1014,F545,$H$5:$H$1014)),"Excl",IF(B545&gt;='Work 1'!$C$5,"LTM","Prior"))</f>
        <v/>
      </c>
      <c r="L545">
        <f>I545-J545</f>
        <v/>
      </c>
    </row>
    <row r="546" ht="14.25" customHeight="1" s="54">
      <c r="A546" s="20" t="inlineStr">
        <is>
          <t>BH-40540</t>
        </is>
      </c>
      <c r="B546" s="21" t="n">
        <v>45839</v>
      </c>
      <c r="C546" s="20" t="inlineStr">
        <is>
          <t>C12</t>
        </is>
      </c>
      <c r="D546" s="20" t="inlineStr">
        <is>
          <t>Riverbend Grocery</t>
        </is>
      </c>
      <c r="E546" s="20" t="inlineStr">
        <is>
          <t>Grocery</t>
        </is>
      </c>
      <c r="F546" s="20" t="inlineStr">
        <is>
          <t>Nut Butter</t>
        </is>
      </c>
      <c r="G546" s="22" t="n">
        <v>706</v>
      </c>
      <c r="H546" s="23" t="n">
        <v>57.25</v>
      </c>
      <c r="I546" s="23" t="n">
        <v>40418.5</v>
      </c>
      <c r="J546" s="23" t="n">
        <v>27887</v>
      </c>
      <c r="K546">
        <f>IF(OR(COUNTIF($A$5:A546,A546)&gt;1,G546&lt;0,C546="",B546&lt;'Work 1'!$C$6,B546&gt;'Work 1'!$C$7,H546&gt;'Work 1'!$C$8*AVERAGEIF($F$5:$F$1014,F546,$H$5:$H$1014)),"Excl",IF(B546&gt;='Work 1'!$C$5,"LTM","Prior"))</f>
        <v/>
      </c>
      <c r="L546">
        <f>I546-J546</f>
        <v/>
      </c>
    </row>
    <row r="547" ht="14.25" customHeight="1" s="54">
      <c r="A547" s="20" t="inlineStr">
        <is>
          <t>BH-40541</t>
        </is>
      </c>
      <c r="B547" s="21" t="n">
        <v>45839</v>
      </c>
      <c r="C547" s="20" t="inlineStr">
        <is>
          <t>C13</t>
        </is>
      </c>
      <c r="D547" s="20" t="inlineStr">
        <is>
          <t>Sunfield Markets</t>
        </is>
      </c>
      <c r="E547" s="20" t="inlineStr">
        <is>
          <t>Grocery</t>
        </is>
      </c>
      <c r="F547" s="20" t="inlineStr">
        <is>
          <t>Granola</t>
        </is>
      </c>
      <c r="G547" s="22" t="n">
        <v>941</v>
      </c>
      <c r="H547" s="23" t="n">
        <v>43.05</v>
      </c>
      <c r="I547" s="23" t="n">
        <v>40510.05</v>
      </c>
      <c r="J547" s="23" t="n">
        <v>25359.95</v>
      </c>
      <c r="K547">
        <f>IF(OR(COUNTIF($A$5:A547,A547)&gt;1,G547&lt;0,C547="",B547&lt;'Work 1'!$C$6,B547&gt;'Work 1'!$C$7,H547&gt;'Work 1'!$C$8*AVERAGEIF($F$5:$F$1014,F547,$H$5:$H$1014)),"Excl",IF(B547&gt;='Work 1'!$C$5,"LTM","Prior"))</f>
        <v/>
      </c>
      <c r="L547">
        <f>I547-J547</f>
        <v/>
      </c>
    </row>
    <row r="548" ht="14.25" customHeight="1" s="54">
      <c r="A548" s="20" t="inlineStr">
        <is>
          <t>BH-40542</t>
        </is>
      </c>
      <c r="B548" s="21" t="n">
        <v>45839</v>
      </c>
      <c r="C548" s="20" t="inlineStr">
        <is>
          <t>C13</t>
        </is>
      </c>
      <c r="D548" s="20" t="inlineStr">
        <is>
          <t>Sunfield Markets</t>
        </is>
      </c>
      <c r="E548" s="20" t="inlineStr">
        <is>
          <t>Grocery</t>
        </is>
      </c>
      <c r="F548" s="20" t="inlineStr">
        <is>
          <t>Snack Bars</t>
        </is>
      </c>
      <c r="G548" s="22" t="n">
        <v>948</v>
      </c>
      <c r="H548" s="23" t="n">
        <v>33.35</v>
      </c>
      <c r="I548" s="23" t="n">
        <v>31615.8</v>
      </c>
      <c r="J548" s="23" t="n">
        <v>19386.6</v>
      </c>
      <c r="K548">
        <f>IF(OR(COUNTIF($A$5:A548,A548)&gt;1,G548&lt;0,C548="",B548&lt;'Work 1'!$C$6,B548&gt;'Work 1'!$C$7,H548&gt;'Work 1'!$C$8*AVERAGEIF($F$5:$F$1014,F548,$H$5:$H$1014)),"Excl",IF(B548&gt;='Work 1'!$C$5,"LTM","Prior"))</f>
        <v/>
      </c>
      <c r="L548">
        <f>I548-J548</f>
        <v/>
      </c>
    </row>
    <row r="549" ht="14.25" customHeight="1" s="54">
      <c r="A549" s="20" t="inlineStr">
        <is>
          <t>BH-40543</t>
        </is>
      </c>
      <c r="B549" s="21" t="n">
        <v>45839</v>
      </c>
      <c r="C549" s="20" t="inlineStr">
        <is>
          <t>C14</t>
        </is>
      </c>
      <c r="D549" s="20" t="inlineStr">
        <is>
          <t>Oak Hollow Foods</t>
        </is>
      </c>
      <c r="E549" s="20" t="inlineStr">
        <is>
          <t>Grocery</t>
        </is>
      </c>
      <c r="F549" s="20" t="inlineStr">
        <is>
          <t>Granola</t>
        </is>
      </c>
      <c r="G549" s="22" t="n">
        <v>1102</v>
      </c>
      <c r="H549" s="23" t="n">
        <v>43.05</v>
      </c>
      <c r="I549" s="23" t="n">
        <v>47441.1</v>
      </c>
      <c r="J549" s="23" t="n">
        <v>29698.9</v>
      </c>
      <c r="K549">
        <f>IF(OR(COUNTIF($A$5:A549,A549)&gt;1,G549&lt;0,C549="",B549&lt;'Work 1'!$C$6,B549&gt;'Work 1'!$C$7,H549&gt;'Work 1'!$C$8*AVERAGEIF($F$5:$F$1014,F549,$H$5:$H$1014)),"Excl",IF(B549&gt;='Work 1'!$C$5,"LTM","Prior"))</f>
        <v/>
      </c>
      <c r="L549">
        <f>I549-J549</f>
        <v/>
      </c>
    </row>
    <row r="550" ht="14.25" customHeight="1" s="54">
      <c r="A550" s="20" t="inlineStr">
        <is>
          <t>BH-40544</t>
        </is>
      </c>
      <c r="B550" s="21" t="n">
        <v>45839</v>
      </c>
      <c r="C550" s="20" t="inlineStr">
        <is>
          <t>C14</t>
        </is>
      </c>
      <c r="D550" s="20" t="inlineStr">
        <is>
          <t>Oak Hollow Foods</t>
        </is>
      </c>
      <c r="E550" s="20" t="inlineStr">
        <is>
          <t>Grocery</t>
        </is>
      </c>
      <c r="F550" s="20" t="inlineStr">
        <is>
          <t>Nut Butter</t>
        </is>
      </c>
      <c r="G550" s="22" t="n">
        <v>411</v>
      </c>
      <c r="H550" s="23" t="n">
        <v>57.25</v>
      </c>
      <c r="I550" s="23" t="n">
        <v>23529.75</v>
      </c>
      <c r="J550" s="23" t="n">
        <v>16234.5</v>
      </c>
      <c r="K550">
        <f>IF(OR(COUNTIF($A$5:A550,A550)&gt;1,G550&lt;0,C550="",B550&lt;'Work 1'!$C$6,B550&gt;'Work 1'!$C$7,H550&gt;'Work 1'!$C$8*AVERAGEIF($F$5:$F$1014,F550,$H$5:$H$1014)),"Excl",IF(B550&gt;='Work 1'!$C$5,"LTM","Prior"))</f>
        <v/>
      </c>
      <c r="L550">
        <f>I550-J550</f>
        <v/>
      </c>
    </row>
    <row r="551" ht="14.25" customHeight="1" s="54">
      <c r="A551" s="20" t="inlineStr">
        <is>
          <t>BH-40545</t>
        </is>
      </c>
      <c r="B551" s="21" t="n">
        <v>45839</v>
      </c>
      <c r="C551" s="20" t="inlineStr">
        <is>
          <t>C14</t>
        </is>
      </c>
      <c r="D551" s="20" t="inlineStr">
        <is>
          <t>Oak Hollow Foods</t>
        </is>
      </c>
      <c r="E551" s="20" t="inlineStr">
        <is>
          <t>Grocery</t>
        </is>
      </c>
      <c r="F551" s="20" t="inlineStr">
        <is>
          <t>Snack Bars</t>
        </is>
      </c>
      <c r="G551" s="22" t="n">
        <v>698</v>
      </c>
      <c r="H551" s="23" t="n">
        <v>33.35</v>
      </c>
      <c r="I551" s="23" t="n">
        <v>23278.3</v>
      </c>
      <c r="J551" s="23" t="n">
        <v>14274.1</v>
      </c>
      <c r="K551">
        <f>IF(OR(COUNTIF($A$5:A551,A551)&gt;1,G551&lt;0,C551="",B551&lt;'Work 1'!$C$6,B551&gt;'Work 1'!$C$7,H551&gt;'Work 1'!$C$8*AVERAGEIF($F$5:$F$1014,F551,$H$5:$H$1014)),"Excl",IF(B551&gt;='Work 1'!$C$5,"LTM","Prior"))</f>
        <v/>
      </c>
      <c r="L551">
        <f>I551-J551</f>
        <v/>
      </c>
    </row>
    <row r="552" ht="14.25" customHeight="1" s="54">
      <c r="A552" s="20" t="inlineStr">
        <is>
          <t>BH-40546</t>
        </is>
      </c>
      <c r="B552" s="21" t="n">
        <v>45839</v>
      </c>
      <c r="C552" s="20" t="inlineStr">
        <is>
          <t>C15</t>
        </is>
      </c>
      <c r="D552" s="20" t="inlineStr">
        <is>
          <t>Prairie Fresh</t>
        </is>
      </c>
      <c r="E552" s="20" t="inlineStr">
        <is>
          <t>Grocery</t>
        </is>
      </c>
      <c r="F552" s="20" t="inlineStr">
        <is>
          <t>Granola</t>
        </is>
      </c>
      <c r="G552" s="22" t="n">
        <v>1316</v>
      </c>
      <c r="H552" s="23" t="n">
        <v>43.05</v>
      </c>
      <c r="I552" s="23" t="n">
        <v>56653.8</v>
      </c>
      <c r="J552" s="23" t="n">
        <v>35466.2</v>
      </c>
      <c r="K552">
        <f>IF(OR(COUNTIF($A$5:A552,A552)&gt;1,G552&lt;0,C552="",B552&lt;'Work 1'!$C$6,B552&gt;'Work 1'!$C$7,H552&gt;'Work 1'!$C$8*AVERAGEIF($F$5:$F$1014,F552,$H$5:$H$1014)),"Excl",IF(B552&gt;='Work 1'!$C$5,"LTM","Prior"))</f>
        <v/>
      </c>
      <c r="L552">
        <f>I552-J552</f>
        <v/>
      </c>
    </row>
    <row r="553" ht="14.25" customHeight="1" s="54">
      <c r="A553" s="20" t="inlineStr">
        <is>
          <t>BH-40547</t>
        </is>
      </c>
      <c r="B553" s="21" t="n">
        <v>45839</v>
      </c>
      <c r="C553" s="20" t="inlineStr">
        <is>
          <t>C15</t>
        </is>
      </c>
      <c r="D553" s="20" t="inlineStr">
        <is>
          <t>Prairie Fresh</t>
        </is>
      </c>
      <c r="E553" s="20" t="inlineStr">
        <is>
          <t>Grocery</t>
        </is>
      </c>
      <c r="F553" s="20" t="inlineStr">
        <is>
          <t>Snack Bars</t>
        </is>
      </c>
      <c r="G553" s="22" t="n">
        <v>922</v>
      </c>
      <c r="H553" s="23" t="n">
        <v>33.35</v>
      </c>
      <c r="I553" s="23" t="n">
        <v>30748.7</v>
      </c>
      <c r="J553" s="23" t="n">
        <v>18854.9</v>
      </c>
      <c r="K553">
        <f>IF(OR(COUNTIF($A$5:A553,A553)&gt;1,G553&lt;0,C553="",B553&lt;'Work 1'!$C$6,B553&gt;'Work 1'!$C$7,H553&gt;'Work 1'!$C$8*AVERAGEIF($F$5:$F$1014,F553,$H$5:$H$1014)),"Excl",IF(B553&gt;='Work 1'!$C$5,"LTM","Prior"))</f>
        <v/>
      </c>
      <c r="L553">
        <f>I553-J553</f>
        <v/>
      </c>
    </row>
    <row r="554" ht="14.25" customHeight="1" s="54">
      <c r="A554" s="20" t="inlineStr">
        <is>
          <t>BH-40548</t>
        </is>
      </c>
      <c r="B554" s="21" t="n">
        <v>45839</v>
      </c>
      <c r="C554" s="20" t="inlineStr">
        <is>
          <t>C16</t>
        </is>
      </c>
      <c r="D554" s="20" t="inlineStr">
        <is>
          <t>Bay Street Market</t>
        </is>
      </c>
      <c r="E554" s="20" t="inlineStr">
        <is>
          <t>Grocery</t>
        </is>
      </c>
      <c r="F554" s="20" t="inlineStr">
        <is>
          <t>Granola</t>
        </is>
      </c>
      <c r="G554" s="22" t="n">
        <v>953</v>
      </c>
      <c r="H554" s="23" t="n">
        <v>43.05</v>
      </c>
      <c r="I554" s="23" t="n">
        <v>41026.65</v>
      </c>
      <c r="J554" s="23" t="n">
        <v>25683.35</v>
      </c>
      <c r="K554">
        <f>IF(OR(COUNTIF($A$5:A554,A554)&gt;1,G554&lt;0,C554="",B554&lt;'Work 1'!$C$6,B554&gt;'Work 1'!$C$7,H554&gt;'Work 1'!$C$8*AVERAGEIF($F$5:$F$1014,F554,$H$5:$H$1014)),"Excl",IF(B554&gt;='Work 1'!$C$5,"LTM","Prior"))</f>
        <v/>
      </c>
      <c r="L554">
        <f>I554-J554</f>
        <v/>
      </c>
    </row>
    <row r="555" ht="14.25" customHeight="1" s="54">
      <c r="A555" s="20" t="inlineStr">
        <is>
          <t>BH-40549</t>
        </is>
      </c>
      <c r="B555" s="21" t="n">
        <v>45839</v>
      </c>
      <c r="C555" s="20" t="inlineStr">
        <is>
          <t>C16</t>
        </is>
      </c>
      <c r="D555" s="20" t="inlineStr">
        <is>
          <t>Bay Street Market</t>
        </is>
      </c>
      <c r="E555" s="20" t="inlineStr">
        <is>
          <t>Grocery</t>
        </is>
      </c>
      <c r="F555" s="20" t="inlineStr">
        <is>
          <t>Nut Butter</t>
        </is>
      </c>
      <c r="G555" s="22" t="n">
        <v>550</v>
      </c>
      <c r="H555" s="23" t="n">
        <v>57.25</v>
      </c>
      <c r="I555" s="23" t="n">
        <v>31487.5</v>
      </c>
      <c r="J555" s="23" t="n">
        <v>21725</v>
      </c>
      <c r="K555">
        <f>IF(OR(COUNTIF($A$5:A555,A555)&gt;1,G555&lt;0,C555="",B555&lt;'Work 1'!$C$6,B555&gt;'Work 1'!$C$7,H555&gt;'Work 1'!$C$8*AVERAGEIF($F$5:$F$1014,F555,$H$5:$H$1014)),"Excl",IF(B555&gt;='Work 1'!$C$5,"LTM","Prior"))</f>
        <v/>
      </c>
      <c r="L555">
        <f>I555-J555</f>
        <v/>
      </c>
    </row>
    <row r="556" ht="14.25" customHeight="1" s="54">
      <c r="A556" s="20" t="inlineStr">
        <is>
          <t>BH-40550</t>
        </is>
      </c>
      <c r="B556" s="21" t="n">
        <v>45870</v>
      </c>
      <c r="C556" s="20" t="inlineStr">
        <is>
          <t>C01</t>
        </is>
      </c>
      <c r="D556" s="20" t="inlineStr">
        <is>
          <t>Northfield Markets</t>
        </is>
      </c>
      <c r="E556" s="20" t="inlineStr">
        <is>
          <t>Grocery</t>
        </is>
      </c>
      <c r="F556" s="20" t="inlineStr">
        <is>
          <t>Granola</t>
        </is>
      </c>
      <c r="G556" s="22" t="n">
        <v>14646</v>
      </c>
      <c r="H556" s="23" t="n">
        <v>39.61</v>
      </c>
      <c r="I556" s="23" t="n">
        <v>580128.0600000001</v>
      </c>
      <c r="J556" s="23" t="n">
        <v>394709.7</v>
      </c>
      <c r="K556">
        <f>IF(OR(COUNTIF($A$5:A556,A556)&gt;1,G556&lt;0,C556="",B556&lt;'Work 1'!$C$6,B556&gt;'Work 1'!$C$7,H556&gt;'Work 1'!$C$8*AVERAGEIF($F$5:$F$1014,F556,$H$5:$H$1014)),"Excl",IF(B556&gt;='Work 1'!$C$5,"LTM","Prior"))</f>
        <v/>
      </c>
      <c r="L556">
        <f>I556-J556</f>
        <v/>
      </c>
    </row>
    <row r="557" ht="14.25" customHeight="1" s="54">
      <c r="A557" s="20" t="inlineStr">
        <is>
          <t>BH-40551</t>
        </is>
      </c>
      <c r="B557" s="21" t="n">
        <v>45870</v>
      </c>
      <c r="C557" s="20" t="inlineStr">
        <is>
          <t>C01</t>
        </is>
      </c>
      <c r="D557" s="20" t="inlineStr">
        <is>
          <t>Northfield Markets</t>
        </is>
      </c>
      <c r="E557" s="20" t="inlineStr">
        <is>
          <t>Grocery</t>
        </is>
      </c>
      <c r="F557" s="20" t="inlineStr">
        <is>
          <t>Nut Butter</t>
        </is>
      </c>
      <c r="G557" s="22" t="n">
        <v>7207</v>
      </c>
      <c r="H557" s="23" t="n">
        <v>52.67</v>
      </c>
      <c r="I557" s="23" t="n">
        <v>379592.69</v>
      </c>
      <c r="J557" s="23" t="n">
        <v>284676.5</v>
      </c>
      <c r="K557">
        <f>IF(OR(COUNTIF($A$5:A557,A557)&gt;1,G557&lt;0,C557="",B557&lt;'Work 1'!$C$6,B557&gt;'Work 1'!$C$7,H557&gt;'Work 1'!$C$8*AVERAGEIF($F$5:$F$1014,F557,$H$5:$H$1014)),"Excl",IF(B557&gt;='Work 1'!$C$5,"LTM","Prior"))</f>
        <v/>
      </c>
      <c r="L557">
        <f>I557-J557</f>
        <v/>
      </c>
    </row>
    <row r="558" ht="14.25" customHeight="1" s="54">
      <c r="A558" s="20" t="inlineStr">
        <is>
          <t>BH-40552</t>
        </is>
      </c>
      <c r="B558" s="21" t="n">
        <v>45870</v>
      </c>
      <c r="C558" s="20" t="inlineStr">
        <is>
          <t>C01</t>
        </is>
      </c>
      <c r="D558" s="20" t="inlineStr">
        <is>
          <t>Northfield Markets</t>
        </is>
      </c>
      <c r="E558" s="20" t="inlineStr">
        <is>
          <t>Grocery</t>
        </is>
      </c>
      <c r="F558" s="20" t="inlineStr">
        <is>
          <t>Snack Bars</t>
        </is>
      </c>
      <c r="G558" s="22" t="n">
        <v>10162</v>
      </c>
      <c r="H558" s="23" t="n">
        <v>30.68</v>
      </c>
      <c r="I558" s="23" t="n">
        <v>311770.16</v>
      </c>
      <c r="J558" s="23" t="n">
        <v>207812.9</v>
      </c>
      <c r="K558">
        <f>IF(OR(COUNTIF($A$5:A558,A558)&gt;1,G558&lt;0,C558="",B558&lt;'Work 1'!$C$6,B558&gt;'Work 1'!$C$7,H558&gt;'Work 1'!$C$8*AVERAGEIF($F$5:$F$1014,F558,$H$5:$H$1014)),"Excl",IF(B558&gt;='Work 1'!$C$5,"LTM","Prior"))</f>
        <v/>
      </c>
      <c r="L558">
        <f>I558-J558</f>
        <v/>
      </c>
    </row>
    <row r="559" ht="14.25" customHeight="1" s="54">
      <c r="A559" s="20" t="inlineStr">
        <is>
          <t>BH-40553</t>
        </is>
      </c>
      <c r="B559" s="21" t="n">
        <v>45870</v>
      </c>
      <c r="C559" s="20" t="inlineStr">
        <is>
          <t>C02</t>
        </is>
      </c>
      <c r="D559" s="20" t="inlineStr">
        <is>
          <t>Crestline Grocers</t>
        </is>
      </c>
      <c r="E559" s="20" t="inlineStr">
        <is>
          <t>Grocery</t>
        </is>
      </c>
      <c r="F559" s="20" t="inlineStr">
        <is>
          <t>Granola</t>
        </is>
      </c>
      <c r="G559" s="22" t="n">
        <v>3613</v>
      </c>
      <c r="H559" s="23" t="n">
        <v>41.76</v>
      </c>
      <c r="I559" s="23" t="n">
        <v>150878.88</v>
      </c>
      <c r="J559" s="23" t="n">
        <v>97370.35000000001</v>
      </c>
      <c r="K559">
        <f>IF(OR(COUNTIF($A$5:A559,A559)&gt;1,G559&lt;0,C559="",B559&lt;'Work 1'!$C$6,B559&gt;'Work 1'!$C$7,H559&gt;'Work 1'!$C$8*AVERAGEIF($F$5:$F$1014,F559,$H$5:$H$1014)),"Excl",IF(B559&gt;='Work 1'!$C$5,"LTM","Prior"))</f>
        <v/>
      </c>
      <c r="L559">
        <f>I559-J559</f>
        <v/>
      </c>
    </row>
    <row r="560" ht="14.25" customHeight="1" s="54">
      <c r="A560" s="20" t="inlineStr">
        <is>
          <t>BH-40554</t>
        </is>
      </c>
      <c r="B560" s="21" t="n">
        <v>45870</v>
      </c>
      <c r="C560" s="20" t="inlineStr">
        <is>
          <t>C02</t>
        </is>
      </c>
      <c r="D560" s="20" t="inlineStr">
        <is>
          <t>Crestline Grocers</t>
        </is>
      </c>
      <c r="E560" s="20" t="inlineStr">
        <is>
          <t>Grocery</t>
        </is>
      </c>
      <c r="F560" s="20" t="inlineStr">
        <is>
          <t>Nut Butter</t>
        </is>
      </c>
      <c r="G560" s="22" t="n">
        <v>1914</v>
      </c>
      <c r="H560" s="23" t="n">
        <v>55.53</v>
      </c>
      <c r="I560" s="23" t="n">
        <v>106284.42</v>
      </c>
      <c r="J560" s="23" t="n">
        <v>75603</v>
      </c>
      <c r="K560">
        <f>IF(OR(COUNTIF($A$5:A560,A560)&gt;1,G560&lt;0,C560="",B560&lt;'Work 1'!$C$6,B560&gt;'Work 1'!$C$7,H560&gt;'Work 1'!$C$8*AVERAGEIF($F$5:$F$1014,F560,$H$5:$H$1014)),"Excl",IF(B560&gt;='Work 1'!$C$5,"LTM","Prior"))</f>
        <v/>
      </c>
      <c r="L560">
        <f>I560-J560</f>
        <v/>
      </c>
    </row>
    <row r="561" ht="14.25" customHeight="1" s="54">
      <c r="A561" s="20" t="inlineStr">
        <is>
          <t>BH-40555</t>
        </is>
      </c>
      <c r="B561" s="21" t="n">
        <v>45870</v>
      </c>
      <c r="C561" s="20" t="inlineStr">
        <is>
          <t>C02</t>
        </is>
      </c>
      <c r="D561" s="20" t="inlineStr">
        <is>
          <t>Crestline Grocers</t>
        </is>
      </c>
      <c r="E561" s="20" t="inlineStr">
        <is>
          <t>Grocery</t>
        </is>
      </c>
      <c r="F561" s="20" t="inlineStr">
        <is>
          <t>Snack Bars</t>
        </is>
      </c>
      <c r="G561" s="22" t="n">
        <v>3283</v>
      </c>
      <c r="H561" s="23" t="n">
        <v>32.35</v>
      </c>
      <c r="I561" s="23" t="n">
        <v>106205.05</v>
      </c>
      <c r="J561" s="23" t="n">
        <v>67137.35000000001</v>
      </c>
      <c r="K561">
        <f>IF(OR(COUNTIF($A$5:A561,A561)&gt;1,G561&lt;0,C561="",B561&lt;'Work 1'!$C$6,B561&gt;'Work 1'!$C$7,H561&gt;'Work 1'!$C$8*AVERAGEIF($F$5:$F$1014,F561,$H$5:$H$1014)),"Excl",IF(B561&gt;='Work 1'!$C$5,"LTM","Prior"))</f>
        <v/>
      </c>
      <c r="L561">
        <f>I561-J561</f>
        <v/>
      </c>
    </row>
    <row r="562" ht="14.25" customHeight="1" s="54">
      <c r="A562" s="20" t="inlineStr">
        <is>
          <t>BH-40556</t>
        </is>
      </c>
      <c r="B562" s="21" t="n">
        <v>45870</v>
      </c>
      <c r="C562" s="20" t="inlineStr">
        <is>
          <t>C03</t>
        </is>
      </c>
      <c r="D562" s="20" t="inlineStr">
        <is>
          <t>ValuClub Warehouse</t>
        </is>
      </c>
      <c r="E562" s="20" t="inlineStr">
        <is>
          <t>Club</t>
        </is>
      </c>
      <c r="F562" s="20" t="inlineStr">
        <is>
          <t>Granola</t>
        </is>
      </c>
      <c r="G562" s="22" t="n">
        <v>11643</v>
      </c>
      <c r="H562" s="23" t="n">
        <v>36.6</v>
      </c>
      <c r="I562" s="23" t="n">
        <v>426133.8</v>
      </c>
      <c r="J562" s="23" t="n">
        <v>313778.85</v>
      </c>
      <c r="K562">
        <f>IF(OR(COUNTIF($A$5:A562,A562)&gt;1,G562&lt;0,C562="",B562&lt;'Work 1'!$C$6,B562&gt;'Work 1'!$C$7,H562&gt;'Work 1'!$C$8*AVERAGEIF($F$5:$F$1014,F562,$H$5:$H$1014)),"Excl",IF(B562&gt;='Work 1'!$C$5,"LTM","Prior"))</f>
        <v/>
      </c>
      <c r="L562">
        <f>I562-J562</f>
        <v/>
      </c>
    </row>
    <row r="563" ht="14.25" customHeight="1" s="54">
      <c r="A563" s="20" t="inlineStr">
        <is>
          <t>BH-40557</t>
        </is>
      </c>
      <c r="B563" s="21" t="n">
        <v>45870</v>
      </c>
      <c r="C563" s="20" t="inlineStr">
        <is>
          <t>C03</t>
        </is>
      </c>
      <c r="D563" s="20" t="inlineStr">
        <is>
          <t>ValuClub Warehouse</t>
        </is>
      </c>
      <c r="E563" s="20" t="inlineStr">
        <is>
          <t>Club</t>
        </is>
      </c>
      <c r="F563" s="20" t="inlineStr">
        <is>
          <t>Snack Bars</t>
        </is>
      </c>
      <c r="G563" s="22" t="n">
        <v>12471</v>
      </c>
      <c r="H563" s="23" t="n">
        <v>25.35</v>
      </c>
      <c r="I563" s="23" t="n">
        <v>316139.85</v>
      </c>
      <c r="J563" s="23" t="n">
        <v>255031.95</v>
      </c>
      <c r="K563">
        <f>IF(OR(COUNTIF($A$5:A563,A563)&gt;1,G563&lt;0,C563="",B563&lt;'Work 1'!$C$6,B563&gt;'Work 1'!$C$7,H563&gt;'Work 1'!$C$8*AVERAGEIF($F$5:$F$1014,F563,$H$5:$H$1014)),"Excl",IF(B563&gt;='Work 1'!$C$5,"LTM","Prior"))</f>
        <v/>
      </c>
      <c r="L563">
        <f>I563-J563</f>
        <v/>
      </c>
    </row>
    <row r="564" ht="14.25" customHeight="1" s="54">
      <c r="A564" s="20" t="inlineStr">
        <is>
          <t>BH-40558</t>
        </is>
      </c>
      <c r="B564" s="21" t="n">
        <v>45870</v>
      </c>
      <c r="C564" s="20" t="inlineStr">
        <is>
          <t>C04</t>
        </is>
      </c>
      <c r="D564" s="20" t="inlineStr">
        <is>
          <t>Harvest Lane Co-op</t>
        </is>
      </c>
      <c r="E564" s="20" t="inlineStr">
        <is>
          <t>Grocery</t>
        </is>
      </c>
      <c r="F564" s="20" t="inlineStr">
        <is>
          <t>Granola</t>
        </is>
      </c>
      <c r="G564" s="22" t="n">
        <v>2679</v>
      </c>
      <c r="H564" s="23" t="n">
        <v>43.05</v>
      </c>
      <c r="I564" s="23" t="n">
        <v>115330.95</v>
      </c>
      <c r="J564" s="23" t="n">
        <v>72199.05</v>
      </c>
      <c r="K564">
        <f>IF(OR(COUNTIF($A$5:A564,A564)&gt;1,G564&lt;0,C564="",B564&lt;'Work 1'!$C$6,B564&gt;'Work 1'!$C$7,H564&gt;'Work 1'!$C$8*AVERAGEIF($F$5:$F$1014,F564,$H$5:$H$1014)),"Excl",IF(B564&gt;='Work 1'!$C$5,"LTM","Prior"))</f>
        <v/>
      </c>
      <c r="L564">
        <f>I564-J564</f>
        <v/>
      </c>
    </row>
    <row r="565" ht="14.25" customHeight="1" s="54">
      <c r="A565" s="20" t="inlineStr">
        <is>
          <t>BH-40559</t>
        </is>
      </c>
      <c r="B565" s="21" t="n">
        <v>45870</v>
      </c>
      <c r="C565" s="20" t="inlineStr">
        <is>
          <t>C04</t>
        </is>
      </c>
      <c r="D565" s="20" t="inlineStr">
        <is>
          <t>Harvest Lane Co-op</t>
        </is>
      </c>
      <c r="E565" s="20" t="inlineStr">
        <is>
          <t>Grocery</t>
        </is>
      </c>
      <c r="F565" s="20" t="inlineStr">
        <is>
          <t>Nut Butter</t>
        </is>
      </c>
      <c r="G565" s="22" t="n">
        <v>1479</v>
      </c>
      <c r="H565" s="23" t="n">
        <v>57.25</v>
      </c>
      <c r="I565" s="23" t="n">
        <v>84672.75</v>
      </c>
      <c r="J565" s="23" t="n">
        <v>58420.5</v>
      </c>
      <c r="K565">
        <f>IF(OR(COUNTIF($A$5:A565,A565)&gt;1,G565&lt;0,C565="",B565&lt;'Work 1'!$C$6,B565&gt;'Work 1'!$C$7,H565&gt;'Work 1'!$C$8*AVERAGEIF($F$5:$F$1014,F565,$H$5:$H$1014)),"Excl",IF(B565&gt;='Work 1'!$C$5,"LTM","Prior"))</f>
        <v/>
      </c>
      <c r="L565">
        <f>I565-J565</f>
        <v/>
      </c>
    </row>
    <row r="566" ht="14.25" customHeight="1" s="54">
      <c r="A566" s="20" t="inlineStr">
        <is>
          <t>BH-40560</t>
        </is>
      </c>
      <c r="B566" s="21" t="n">
        <v>45870</v>
      </c>
      <c r="C566" s="20" t="inlineStr">
        <is>
          <t>C04</t>
        </is>
      </c>
      <c r="D566" s="20" t="inlineStr">
        <is>
          <t>Harvest Lane Co-op</t>
        </is>
      </c>
      <c r="E566" s="20" t="inlineStr">
        <is>
          <t>Grocery</t>
        </is>
      </c>
      <c r="F566" s="20" t="inlineStr">
        <is>
          <t>Snack Bars</t>
        </is>
      </c>
      <c r="G566" s="22" t="n">
        <v>1746</v>
      </c>
      <c r="H566" s="23" t="n">
        <v>33.35</v>
      </c>
      <c r="I566" s="23" t="n">
        <v>58229.1</v>
      </c>
      <c r="J566" s="23" t="n">
        <v>35705.7</v>
      </c>
      <c r="K566">
        <f>IF(OR(COUNTIF($A$5:A566,A566)&gt;1,G566&lt;0,C566="",B566&lt;'Work 1'!$C$6,B566&gt;'Work 1'!$C$7,H566&gt;'Work 1'!$C$8*AVERAGEIF($F$5:$F$1014,F566,$H$5:$H$1014)),"Excl",IF(B566&gt;='Work 1'!$C$5,"LTM","Prior"))</f>
        <v/>
      </c>
      <c r="L566">
        <f>I566-J566</f>
        <v/>
      </c>
    </row>
    <row r="567" ht="14.25" customHeight="1" s="54">
      <c r="A567" s="20" t="inlineStr">
        <is>
          <t>BH-40561</t>
        </is>
      </c>
      <c r="B567" s="21" t="n">
        <v>45870</v>
      </c>
      <c r="C567" s="20" t="inlineStr">
        <is>
          <t>C05</t>
        </is>
      </c>
      <c r="D567" s="20" t="inlineStr">
        <is>
          <t>Pioneer Foods Distribution</t>
        </is>
      </c>
      <c r="E567" s="20" t="inlineStr">
        <is>
          <t>Grocery</t>
        </is>
      </c>
      <c r="F567" s="20" t="inlineStr">
        <is>
          <t>Granola</t>
        </is>
      </c>
      <c r="G567" s="22" t="n">
        <v>3153</v>
      </c>
      <c r="H567" s="23" t="n">
        <v>38.74</v>
      </c>
      <c r="I567" s="23" t="n">
        <v>122147.22</v>
      </c>
      <c r="J567" s="23" t="n">
        <v>84973.35000000001</v>
      </c>
      <c r="K567">
        <f>IF(OR(COUNTIF($A$5:A567,A567)&gt;1,G567&lt;0,C567="",B567&lt;'Work 1'!$C$6,B567&gt;'Work 1'!$C$7,H567&gt;'Work 1'!$C$8*AVERAGEIF($F$5:$F$1014,F567,$H$5:$H$1014)),"Excl",IF(B567&gt;='Work 1'!$C$5,"LTM","Prior"))</f>
        <v/>
      </c>
      <c r="L567">
        <f>I567-J567</f>
        <v/>
      </c>
    </row>
    <row r="568" ht="14.25" customHeight="1" s="54">
      <c r="A568" s="20" t="inlineStr">
        <is>
          <t>BH-40562</t>
        </is>
      </c>
      <c r="B568" s="21" t="n">
        <v>45870</v>
      </c>
      <c r="C568" s="20" t="inlineStr">
        <is>
          <t>C05</t>
        </is>
      </c>
      <c r="D568" s="20" t="inlineStr">
        <is>
          <t>Pioneer Foods Distribution</t>
        </is>
      </c>
      <c r="E568" s="20" t="inlineStr">
        <is>
          <t>Grocery</t>
        </is>
      </c>
      <c r="F568" s="20" t="inlineStr">
        <is>
          <t>Nut Butter</t>
        </is>
      </c>
      <c r="G568" s="22" t="n">
        <v>1914</v>
      </c>
      <c r="H568" s="23" t="n">
        <v>51.52</v>
      </c>
      <c r="I568" s="23" t="n">
        <v>98609.28</v>
      </c>
      <c r="J568" s="23" t="n">
        <v>75603</v>
      </c>
      <c r="K568">
        <f>IF(OR(COUNTIF($A$5:A568,A568)&gt;1,G568&lt;0,C568="",B568&lt;'Work 1'!$C$6,B568&gt;'Work 1'!$C$7,H568&gt;'Work 1'!$C$8*AVERAGEIF($F$5:$F$1014,F568,$H$5:$H$1014)),"Excl",IF(B568&gt;='Work 1'!$C$5,"LTM","Prior"))</f>
        <v/>
      </c>
      <c r="L568">
        <f>I568-J568</f>
        <v/>
      </c>
    </row>
    <row r="569" ht="14.25" customHeight="1" s="54">
      <c r="A569" s="20" t="inlineStr">
        <is>
          <t>BH-40563</t>
        </is>
      </c>
      <c r="B569" s="21" t="n">
        <v>45870</v>
      </c>
      <c r="C569" s="20" t="inlineStr">
        <is>
          <t>C05</t>
        </is>
      </c>
      <c r="D569" s="20" t="inlineStr">
        <is>
          <t>Pioneer Foods Distribution</t>
        </is>
      </c>
      <c r="E569" s="20" t="inlineStr">
        <is>
          <t>Grocery</t>
        </is>
      </c>
      <c r="F569" s="20" t="inlineStr">
        <is>
          <t>Snack Bars</t>
        </is>
      </c>
      <c r="G569" s="22" t="n">
        <v>2835</v>
      </c>
      <c r="H569" s="23" t="n">
        <v>30.02</v>
      </c>
      <c r="I569" s="23" t="n">
        <v>85106.7</v>
      </c>
      <c r="J569" s="23" t="n">
        <v>57975.75</v>
      </c>
      <c r="K569">
        <f>IF(OR(COUNTIF($A$5:A569,A569)&gt;1,G569&lt;0,C569="",B569&lt;'Work 1'!$C$6,B569&gt;'Work 1'!$C$7,H569&gt;'Work 1'!$C$8*AVERAGEIF($F$5:$F$1014,F569,$H$5:$H$1014)),"Excl",IF(B569&gt;='Work 1'!$C$5,"LTM","Prior"))</f>
        <v/>
      </c>
      <c r="L569">
        <f>I569-J569</f>
        <v/>
      </c>
    </row>
    <row r="570" ht="14.25" customHeight="1" s="54">
      <c r="A570" s="20" t="inlineStr">
        <is>
          <t>BH-40564</t>
        </is>
      </c>
      <c r="B570" s="21" t="n">
        <v>45870</v>
      </c>
      <c r="C570" s="20" t="inlineStr">
        <is>
          <t>C06</t>
        </is>
      </c>
      <c r="D570" s="20" t="inlineStr">
        <is>
          <t>Summit Club Stores</t>
        </is>
      </c>
      <c r="E570" s="20" t="inlineStr">
        <is>
          <t>Club</t>
        </is>
      </c>
      <c r="F570" s="20" t="inlineStr">
        <is>
          <t>Granola</t>
        </is>
      </c>
      <c r="G570" s="22" t="n">
        <v>4864</v>
      </c>
      <c r="H570" s="23" t="n">
        <v>36.6</v>
      </c>
      <c r="I570" s="23" t="n">
        <v>178022.4</v>
      </c>
      <c r="J570" s="23" t="n">
        <v>131084.8</v>
      </c>
      <c r="K570">
        <f>IF(OR(COUNTIF($A$5:A570,A570)&gt;1,G570&lt;0,C570="",B570&lt;'Work 1'!$C$6,B570&gt;'Work 1'!$C$7,H570&gt;'Work 1'!$C$8*AVERAGEIF($F$5:$F$1014,F570,$H$5:$H$1014)),"Excl",IF(B570&gt;='Work 1'!$C$5,"LTM","Prior"))</f>
        <v/>
      </c>
      <c r="L570">
        <f>I570-J570</f>
        <v/>
      </c>
    </row>
    <row r="571" ht="14.25" customHeight="1" s="54">
      <c r="A571" s="20" t="inlineStr">
        <is>
          <t>BH-40565</t>
        </is>
      </c>
      <c r="B571" s="21" t="n">
        <v>45870</v>
      </c>
      <c r="C571" s="20" t="inlineStr">
        <is>
          <t>C06</t>
        </is>
      </c>
      <c r="D571" s="20" t="inlineStr">
        <is>
          <t>Summit Club Stores</t>
        </is>
      </c>
      <c r="E571" s="20" t="inlineStr">
        <is>
          <t>Club</t>
        </is>
      </c>
      <c r="F571" s="20" t="inlineStr">
        <is>
          <t>Nut Butter</t>
        </is>
      </c>
      <c r="G571" s="22" t="n">
        <v>2599</v>
      </c>
      <c r="H571" s="23" t="n">
        <v>48.75</v>
      </c>
      <c r="I571" s="23" t="n">
        <v>126701.25</v>
      </c>
      <c r="J571" s="23" t="n">
        <v>102660.5</v>
      </c>
      <c r="K571">
        <f>IF(OR(COUNTIF($A$5:A571,A571)&gt;1,G571&lt;0,C571="",B571&lt;'Work 1'!$C$6,B571&gt;'Work 1'!$C$7,H571&gt;'Work 1'!$C$8*AVERAGEIF($F$5:$F$1014,F571,$H$5:$H$1014)),"Excl",IF(B571&gt;='Work 1'!$C$5,"LTM","Prior"))</f>
        <v/>
      </c>
      <c r="L571">
        <f>I571-J571</f>
        <v/>
      </c>
    </row>
    <row r="572" ht="14.25" customHeight="1" s="54">
      <c r="A572" s="20" t="inlineStr">
        <is>
          <t>BH-40566</t>
        </is>
      </c>
      <c r="B572" s="21" t="n">
        <v>45870</v>
      </c>
      <c r="C572" s="20" t="inlineStr">
        <is>
          <t>C07</t>
        </is>
      </c>
      <c r="D572" s="20" t="inlineStr">
        <is>
          <t>Bramble Hill Online Store</t>
        </is>
      </c>
      <c r="E572" s="20" t="inlineStr">
        <is>
          <t>Online</t>
        </is>
      </c>
      <c r="F572" s="20" t="inlineStr">
        <is>
          <t>Granola</t>
        </is>
      </c>
      <c r="G572" s="22" t="n">
        <v>3401</v>
      </c>
      <c r="H572" s="23" t="n">
        <v>49.4</v>
      </c>
      <c r="I572" s="23" t="n">
        <v>168009.4</v>
      </c>
      <c r="J572" s="23" t="n">
        <v>91656.95</v>
      </c>
      <c r="K572">
        <f>IF(OR(COUNTIF($A$5:A572,A572)&gt;1,G572&lt;0,C572="",B572&lt;'Work 1'!$C$6,B572&gt;'Work 1'!$C$7,H572&gt;'Work 1'!$C$8*AVERAGEIF($F$5:$F$1014,F572,$H$5:$H$1014)),"Excl",IF(B572&gt;='Work 1'!$C$5,"LTM","Prior"))</f>
        <v/>
      </c>
      <c r="L572">
        <f>I572-J572</f>
        <v/>
      </c>
    </row>
    <row r="573" ht="14.25" customHeight="1" s="54">
      <c r="A573" s="20" t="inlineStr">
        <is>
          <t>BH-40567</t>
        </is>
      </c>
      <c r="B573" s="21" t="n">
        <v>45870</v>
      </c>
      <c r="C573" s="20" t="inlineStr">
        <is>
          <t>C07</t>
        </is>
      </c>
      <c r="D573" s="20" t="inlineStr">
        <is>
          <t>Bramble Hill Online Store</t>
        </is>
      </c>
      <c r="E573" s="20" t="inlineStr">
        <is>
          <t>Online</t>
        </is>
      </c>
      <c r="F573" s="20" t="inlineStr">
        <is>
          <t>Nut Butter</t>
        </is>
      </c>
      <c r="G573" s="22" t="n">
        <v>1914</v>
      </c>
      <c r="H573" s="23" t="n">
        <v>64.40000000000001</v>
      </c>
      <c r="I573" s="23" t="n">
        <v>123261.6</v>
      </c>
      <c r="J573" s="23" t="n">
        <v>75603</v>
      </c>
      <c r="K573">
        <f>IF(OR(COUNTIF($A$5:A573,A573)&gt;1,G573&lt;0,C573="",B573&lt;'Work 1'!$C$6,B573&gt;'Work 1'!$C$7,H573&gt;'Work 1'!$C$8*AVERAGEIF($F$5:$F$1014,F573,$H$5:$H$1014)),"Excl",IF(B573&gt;='Work 1'!$C$5,"LTM","Prior"))</f>
        <v/>
      </c>
      <c r="L573">
        <f>I573-J573</f>
        <v/>
      </c>
    </row>
    <row r="574" ht="14.25" customHeight="1" s="54">
      <c r="A574" s="20" t="inlineStr">
        <is>
          <t>BH-40568</t>
        </is>
      </c>
      <c r="B574" s="21" t="n">
        <v>45870</v>
      </c>
      <c r="C574" s="20" t="inlineStr">
        <is>
          <t>C07</t>
        </is>
      </c>
      <c r="D574" s="20" t="inlineStr">
        <is>
          <t>Bramble Hill Online Store</t>
        </is>
      </c>
      <c r="E574" s="20" t="inlineStr">
        <is>
          <t>Online</t>
        </is>
      </c>
      <c r="F574" s="20" t="inlineStr">
        <is>
          <t>Snack Bars</t>
        </is>
      </c>
      <c r="G574" s="22" t="n">
        <v>2457</v>
      </c>
      <c r="H574" s="23" t="n">
        <v>39.3</v>
      </c>
      <c r="I574" s="23" t="n">
        <v>96560.10000000001</v>
      </c>
      <c r="J574" s="23" t="n">
        <v>50245.65</v>
      </c>
      <c r="K574">
        <f>IF(OR(COUNTIF($A$5:A574,A574)&gt;1,G574&lt;0,C574="",B574&lt;'Work 1'!$C$6,B574&gt;'Work 1'!$C$7,H574&gt;'Work 1'!$C$8*AVERAGEIF($F$5:$F$1014,F574,$H$5:$H$1014)),"Excl",IF(B574&gt;='Work 1'!$C$5,"LTM","Prior"))</f>
        <v/>
      </c>
      <c r="L574">
        <f>I574-J574</f>
        <v/>
      </c>
    </row>
    <row r="575" ht="14.25" customHeight="1" s="54">
      <c r="A575" s="20" t="inlineStr">
        <is>
          <t>BH-40569</t>
        </is>
      </c>
      <c r="B575" s="21" t="n">
        <v>45870</v>
      </c>
      <c r="C575" s="20" t="inlineStr">
        <is>
          <t>C08</t>
        </is>
      </c>
      <c r="D575" s="20" t="inlineStr">
        <is>
          <t>Online Marketplace</t>
        </is>
      </c>
      <c r="E575" s="20" t="inlineStr">
        <is>
          <t>Online</t>
        </is>
      </c>
      <c r="F575" s="20" t="inlineStr">
        <is>
          <t>Granola</t>
        </is>
      </c>
      <c r="G575" s="22" t="n">
        <v>3474</v>
      </c>
      <c r="H575" s="23" t="n">
        <v>43.47</v>
      </c>
      <c r="I575" s="23" t="n">
        <v>151014.78</v>
      </c>
      <c r="J575" s="23" t="n">
        <v>93624.3</v>
      </c>
      <c r="K575">
        <f>IF(OR(COUNTIF($A$5:A575,A575)&gt;1,G575&lt;0,C575="",B575&lt;'Work 1'!$C$6,B575&gt;'Work 1'!$C$7,H575&gt;'Work 1'!$C$8*AVERAGEIF($F$5:$F$1014,F575,$H$5:$H$1014)),"Excl",IF(B575&gt;='Work 1'!$C$5,"LTM","Prior"))</f>
        <v/>
      </c>
      <c r="L575">
        <f>I575-J575</f>
        <v/>
      </c>
    </row>
    <row r="576" ht="14.25" customHeight="1" s="54">
      <c r="A576" s="20" t="inlineStr">
        <is>
          <t>BH-40570</t>
        </is>
      </c>
      <c r="B576" s="21" t="n">
        <v>45870</v>
      </c>
      <c r="C576" s="20" t="inlineStr">
        <is>
          <t>C08</t>
        </is>
      </c>
      <c r="D576" s="20" t="inlineStr">
        <is>
          <t>Online Marketplace</t>
        </is>
      </c>
      <c r="E576" s="20" t="inlineStr">
        <is>
          <t>Online</t>
        </is>
      </c>
      <c r="F576" s="20" t="inlineStr">
        <is>
          <t>Nut Butter</t>
        </is>
      </c>
      <c r="G576" s="22" t="n">
        <v>1805</v>
      </c>
      <c r="H576" s="23" t="n">
        <v>56.67</v>
      </c>
      <c r="I576" s="23" t="n">
        <v>102289.35</v>
      </c>
      <c r="J576" s="23" t="n">
        <v>71297.5</v>
      </c>
      <c r="K576">
        <f>IF(OR(COUNTIF($A$5:A576,A576)&gt;1,G576&lt;0,C576="",B576&lt;'Work 1'!$C$6,B576&gt;'Work 1'!$C$7,H576&gt;'Work 1'!$C$8*AVERAGEIF($F$5:$F$1014,F576,$H$5:$H$1014)),"Excl",IF(B576&gt;='Work 1'!$C$5,"LTM","Prior"))</f>
        <v/>
      </c>
      <c r="L576">
        <f>I576-J576</f>
        <v/>
      </c>
    </row>
    <row r="577" ht="14.25" customHeight="1" s="54">
      <c r="A577" s="20" t="inlineStr">
        <is>
          <t>BH-40571</t>
        </is>
      </c>
      <c r="B577" s="21" t="n">
        <v>45870</v>
      </c>
      <c r="C577" s="20" t="inlineStr">
        <is>
          <t>C08</t>
        </is>
      </c>
      <c r="D577" s="20" t="inlineStr">
        <is>
          <t>Online Marketplace</t>
        </is>
      </c>
      <c r="E577" s="20" t="inlineStr">
        <is>
          <t>Online</t>
        </is>
      </c>
      <c r="F577" s="20" t="inlineStr">
        <is>
          <t>Snack Bars</t>
        </is>
      </c>
      <c r="G577" s="22" t="n">
        <v>2881</v>
      </c>
      <c r="H577" s="23" t="n">
        <v>34.58</v>
      </c>
      <c r="I577" s="23" t="n">
        <v>99624.98</v>
      </c>
      <c r="J577" s="23" t="n">
        <v>58916.45</v>
      </c>
      <c r="K577">
        <f>IF(OR(COUNTIF($A$5:A577,A577)&gt;1,G577&lt;0,C577="",B577&lt;'Work 1'!$C$6,B577&gt;'Work 1'!$C$7,H577&gt;'Work 1'!$C$8*AVERAGEIF($F$5:$F$1014,F577,$H$5:$H$1014)),"Excl",IF(B577&gt;='Work 1'!$C$5,"LTM","Prior"))</f>
        <v/>
      </c>
      <c r="L577">
        <f>I577-J577</f>
        <v/>
      </c>
    </row>
    <row r="578" ht="14.25" customHeight="1" s="54">
      <c r="A578" s="20" t="inlineStr">
        <is>
          <t>BH-40572</t>
        </is>
      </c>
      <c r="B578" s="21" t="n">
        <v>45870</v>
      </c>
      <c r="C578" s="20" t="inlineStr">
        <is>
          <t>C09</t>
        </is>
      </c>
      <c r="D578" s="20" t="inlineStr">
        <is>
          <t>Maple Ridge Grocers</t>
        </is>
      </c>
      <c r="E578" s="20" t="inlineStr">
        <is>
          <t>Grocery</t>
        </is>
      </c>
      <c r="F578" s="20" t="inlineStr">
        <is>
          <t>Granola</t>
        </is>
      </c>
      <c r="G578" s="22" t="n">
        <v>1550</v>
      </c>
      <c r="H578" s="23" t="n">
        <v>43.05</v>
      </c>
      <c r="I578" s="23" t="n">
        <v>66727.5</v>
      </c>
      <c r="J578" s="23" t="n">
        <v>41772.5</v>
      </c>
      <c r="K578">
        <f>IF(OR(COUNTIF($A$5:A578,A578)&gt;1,G578&lt;0,C578="",B578&lt;'Work 1'!$C$6,B578&gt;'Work 1'!$C$7,H578&gt;'Work 1'!$C$8*AVERAGEIF($F$5:$F$1014,F578,$H$5:$H$1014)),"Excl",IF(B578&gt;='Work 1'!$C$5,"LTM","Prior"))</f>
        <v/>
      </c>
      <c r="L578">
        <f>I578-J578</f>
        <v/>
      </c>
    </row>
    <row r="579" ht="14.25" customHeight="1" s="54">
      <c r="A579" s="20" t="inlineStr">
        <is>
          <t>BH-40573</t>
        </is>
      </c>
      <c r="B579" s="21" t="n">
        <v>45870</v>
      </c>
      <c r="C579" s="20" t="inlineStr">
        <is>
          <t>C09</t>
        </is>
      </c>
      <c r="D579" s="20" t="inlineStr">
        <is>
          <t>Maple Ridge Grocers</t>
        </is>
      </c>
      <c r="E579" s="20" t="inlineStr">
        <is>
          <t>Grocery</t>
        </is>
      </c>
      <c r="F579" s="20" t="inlineStr">
        <is>
          <t>Snack Bars</t>
        </is>
      </c>
      <c r="G579" s="22" t="n">
        <v>1238</v>
      </c>
      <c r="H579" s="23" t="n">
        <v>33.35</v>
      </c>
      <c r="I579" s="23" t="n">
        <v>41287.3</v>
      </c>
      <c r="J579" s="23" t="n">
        <v>25317.1</v>
      </c>
      <c r="K579">
        <f>IF(OR(COUNTIF($A$5:A579,A579)&gt;1,G579&lt;0,C579="",B579&lt;'Work 1'!$C$6,B579&gt;'Work 1'!$C$7,H579&gt;'Work 1'!$C$8*AVERAGEIF($F$5:$F$1014,F579,$H$5:$H$1014)),"Excl",IF(B579&gt;='Work 1'!$C$5,"LTM","Prior"))</f>
        <v/>
      </c>
      <c r="L579">
        <f>I579-J579</f>
        <v/>
      </c>
    </row>
    <row r="580" ht="14.25" customHeight="1" s="54">
      <c r="A580" s="20" t="inlineStr">
        <is>
          <t>BH-40574</t>
        </is>
      </c>
      <c r="B580" s="21" t="n">
        <v>45870</v>
      </c>
      <c r="C580" s="20" t="inlineStr">
        <is>
          <t>C10</t>
        </is>
      </c>
      <c r="D580" s="20" t="inlineStr">
        <is>
          <t>Lakeshore Foods</t>
        </is>
      </c>
      <c r="E580" s="20" t="inlineStr">
        <is>
          <t>Grocery</t>
        </is>
      </c>
      <c r="F580" s="20" t="inlineStr">
        <is>
          <t>Granola</t>
        </is>
      </c>
      <c r="G580" s="22" t="n">
        <v>1262</v>
      </c>
      <c r="H580" s="23" t="n">
        <v>43.05</v>
      </c>
      <c r="I580" s="23" t="n">
        <v>54329.1</v>
      </c>
      <c r="J580" s="23" t="n">
        <v>34010.9</v>
      </c>
      <c r="K580">
        <f>IF(OR(COUNTIF($A$5:A580,A580)&gt;1,G580&lt;0,C580="",B580&lt;'Work 1'!$C$6,B580&gt;'Work 1'!$C$7,H580&gt;'Work 1'!$C$8*AVERAGEIF($F$5:$F$1014,F580,$H$5:$H$1014)),"Excl",IF(B580&gt;='Work 1'!$C$5,"LTM","Prior"))</f>
        <v/>
      </c>
      <c r="L580">
        <f>I580-J580</f>
        <v/>
      </c>
    </row>
    <row r="581" ht="14.25" customHeight="1" s="54">
      <c r="A581" s="20" t="inlineStr">
        <is>
          <t>BH-40575</t>
        </is>
      </c>
      <c r="B581" s="21" t="n">
        <v>45870</v>
      </c>
      <c r="C581" s="20" t="inlineStr">
        <is>
          <t>C10</t>
        </is>
      </c>
      <c r="D581" s="20" t="inlineStr">
        <is>
          <t>Lakeshore Foods</t>
        </is>
      </c>
      <c r="E581" s="20" t="inlineStr">
        <is>
          <t>Grocery</t>
        </is>
      </c>
      <c r="F581" s="20" t="inlineStr">
        <is>
          <t>Nut Butter</t>
        </is>
      </c>
      <c r="G581" s="22" t="n">
        <v>560</v>
      </c>
      <c r="H581" s="23" t="n">
        <v>57.25</v>
      </c>
      <c r="I581" s="23" t="n">
        <v>32060</v>
      </c>
      <c r="J581" s="23" t="n">
        <v>22120</v>
      </c>
      <c r="K581">
        <f>IF(OR(COUNTIF($A$5:A581,A581)&gt;1,G581&lt;0,C581="",B581&lt;'Work 1'!$C$6,B581&gt;'Work 1'!$C$7,H581&gt;'Work 1'!$C$8*AVERAGEIF($F$5:$F$1014,F581,$H$5:$H$1014)),"Excl",IF(B581&gt;='Work 1'!$C$5,"LTM","Prior"))</f>
        <v/>
      </c>
      <c r="L581">
        <f>I581-J581</f>
        <v/>
      </c>
    </row>
    <row r="582" ht="14.25" customHeight="1" s="54">
      <c r="A582" s="20" t="inlineStr">
        <is>
          <t>BH-40576</t>
        </is>
      </c>
      <c r="B582" s="21" t="n">
        <v>45870</v>
      </c>
      <c r="C582" s="20" t="inlineStr">
        <is>
          <t>C11</t>
        </is>
      </c>
      <c r="D582" s="20" t="inlineStr">
        <is>
          <t>Copper Valley Market</t>
        </is>
      </c>
      <c r="E582" s="20" t="inlineStr">
        <is>
          <t>Grocery</t>
        </is>
      </c>
      <c r="F582" s="20" t="inlineStr">
        <is>
          <t>Granola</t>
        </is>
      </c>
      <c r="G582" s="22" t="n">
        <v>1144</v>
      </c>
      <c r="H582" s="23" t="n">
        <v>43.05</v>
      </c>
      <c r="I582" s="23" t="n">
        <v>49249.2</v>
      </c>
      <c r="J582" s="23" t="n">
        <v>30830.8</v>
      </c>
      <c r="K582">
        <f>IF(OR(COUNTIF($A$5:A582,A582)&gt;1,G582&lt;0,C582="",B582&lt;'Work 1'!$C$6,B582&gt;'Work 1'!$C$7,H582&gt;'Work 1'!$C$8*AVERAGEIF($F$5:$F$1014,F582,$H$5:$H$1014)),"Excl",IF(B582&gt;='Work 1'!$C$5,"LTM","Prior"))</f>
        <v/>
      </c>
      <c r="L582">
        <f>I582-J582</f>
        <v/>
      </c>
    </row>
    <row r="583" ht="14.25" customHeight="1" s="54">
      <c r="A583" s="20" t="inlineStr">
        <is>
          <t>BH-40577</t>
        </is>
      </c>
      <c r="B583" s="21" t="n">
        <v>45870</v>
      </c>
      <c r="C583" s="20" t="inlineStr">
        <is>
          <t>C11</t>
        </is>
      </c>
      <c r="D583" s="20" t="inlineStr">
        <is>
          <t>Copper Valley Market</t>
        </is>
      </c>
      <c r="E583" s="20" t="inlineStr">
        <is>
          <t>Grocery</t>
        </is>
      </c>
      <c r="F583" s="20" t="inlineStr">
        <is>
          <t>Snack Bars</t>
        </is>
      </c>
      <c r="G583" s="22" t="n">
        <v>1256</v>
      </c>
      <c r="H583" s="23" t="n">
        <v>33.35</v>
      </c>
      <c r="I583" s="23" t="n">
        <v>41887.6</v>
      </c>
      <c r="J583" s="23" t="n">
        <v>25685.2</v>
      </c>
      <c r="K583">
        <f>IF(OR(COUNTIF($A$5:A583,A583)&gt;1,G583&lt;0,C583="",B583&lt;'Work 1'!$C$6,B583&gt;'Work 1'!$C$7,H583&gt;'Work 1'!$C$8*AVERAGEIF($F$5:$F$1014,F583,$H$5:$H$1014)),"Excl",IF(B583&gt;='Work 1'!$C$5,"LTM","Prior"))</f>
        <v/>
      </c>
      <c r="L583">
        <f>I583-J583</f>
        <v/>
      </c>
    </row>
    <row r="584" ht="14.25" customHeight="1" s="54">
      <c r="A584" s="20" t="inlineStr">
        <is>
          <t>BH-40578</t>
        </is>
      </c>
      <c r="B584" s="21" t="n">
        <v>45870</v>
      </c>
      <c r="C584" s="20" t="inlineStr">
        <is>
          <t>C12</t>
        </is>
      </c>
      <c r="D584" s="20" t="inlineStr">
        <is>
          <t>Riverbend Grocery</t>
        </is>
      </c>
      <c r="E584" s="20" t="inlineStr">
        <is>
          <t>Grocery</t>
        </is>
      </c>
      <c r="F584" s="20" t="inlineStr">
        <is>
          <t>Granola</t>
        </is>
      </c>
      <c r="G584" s="22" t="n">
        <v>1709</v>
      </c>
      <c r="H584" s="23" t="n">
        <v>43.05</v>
      </c>
      <c r="I584" s="23" t="n">
        <v>73572.45</v>
      </c>
      <c r="J584" s="23" t="n">
        <v>46057.55</v>
      </c>
      <c r="K584">
        <f>IF(OR(COUNTIF($A$5:A584,A584)&gt;1,G584&lt;0,C584="",B584&lt;'Work 1'!$C$6,B584&gt;'Work 1'!$C$7,H584&gt;'Work 1'!$C$8*AVERAGEIF($F$5:$F$1014,F584,$H$5:$H$1014)),"Excl",IF(B584&gt;='Work 1'!$C$5,"LTM","Prior"))</f>
        <v/>
      </c>
      <c r="L584">
        <f>I584-J584</f>
        <v/>
      </c>
    </row>
    <row r="585" ht="14.25" customHeight="1" s="54">
      <c r="A585" s="20" t="inlineStr">
        <is>
          <t>BH-40579</t>
        </is>
      </c>
      <c r="B585" s="21" t="n">
        <v>45870</v>
      </c>
      <c r="C585" s="20" t="inlineStr">
        <is>
          <t>C12</t>
        </is>
      </c>
      <c r="D585" s="20" t="inlineStr">
        <is>
          <t>Riverbend Grocery</t>
        </is>
      </c>
      <c r="E585" s="20" t="inlineStr">
        <is>
          <t>Grocery</t>
        </is>
      </c>
      <c r="F585" s="20" t="inlineStr">
        <is>
          <t>Nut Butter</t>
        </is>
      </c>
      <c r="G585" s="22" t="n">
        <v>693</v>
      </c>
      <c r="H585" s="23" t="n">
        <v>57.25</v>
      </c>
      <c r="I585" s="23" t="n">
        <v>39674.25</v>
      </c>
      <c r="J585" s="23" t="n">
        <v>27373.5</v>
      </c>
      <c r="K585">
        <f>IF(OR(COUNTIF($A$5:A585,A585)&gt;1,G585&lt;0,C585="",B585&lt;'Work 1'!$C$6,B585&gt;'Work 1'!$C$7,H585&gt;'Work 1'!$C$8*AVERAGEIF($F$5:$F$1014,F585,$H$5:$H$1014)),"Excl",IF(B585&gt;='Work 1'!$C$5,"LTM","Prior"))</f>
        <v/>
      </c>
      <c r="L585">
        <f>I585-J585</f>
        <v/>
      </c>
    </row>
    <row r="586" ht="14.25" customHeight="1" s="54">
      <c r="A586" s="20" t="inlineStr">
        <is>
          <t>BH-40580</t>
        </is>
      </c>
      <c r="B586" s="21" t="n">
        <v>45870</v>
      </c>
      <c r="C586" s="20" t="inlineStr">
        <is>
          <t>C13</t>
        </is>
      </c>
      <c r="D586" s="20" t="inlineStr">
        <is>
          <t>Sunfield Markets</t>
        </is>
      </c>
      <c r="E586" s="20" t="inlineStr">
        <is>
          <t>Grocery</t>
        </is>
      </c>
      <c r="F586" s="20" t="inlineStr">
        <is>
          <t>Granola</t>
        </is>
      </c>
      <c r="G586" s="22" t="n">
        <v>1011</v>
      </c>
      <c r="H586" s="23" t="n">
        <v>43.05</v>
      </c>
      <c r="I586" s="23" t="n">
        <v>43523.55</v>
      </c>
      <c r="J586" s="23" t="n">
        <v>27246.45</v>
      </c>
      <c r="K586">
        <f>IF(OR(COUNTIF($A$5:A586,A586)&gt;1,G586&lt;0,C586="",B586&lt;'Work 1'!$C$6,B586&gt;'Work 1'!$C$7,H586&gt;'Work 1'!$C$8*AVERAGEIF($F$5:$F$1014,F586,$H$5:$H$1014)),"Excl",IF(B586&gt;='Work 1'!$C$5,"LTM","Prior"))</f>
        <v/>
      </c>
      <c r="L586">
        <f>I586-J586</f>
        <v/>
      </c>
    </row>
    <row r="587" ht="14.25" customHeight="1" s="54">
      <c r="A587" s="20" t="inlineStr">
        <is>
          <t>BH-40581</t>
        </is>
      </c>
      <c r="B587" s="21" t="n">
        <v>45870</v>
      </c>
      <c r="C587" s="20" t="inlineStr">
        <is>
          <t>C13</t>
        </is>
      </c>
      <c r="D587" s="20" t="inlineStr">
        <is>
          <t>Sunfield Markets</t>
        </is>
      </c>
      <c r="E587" s="20" t="inlineStr">
        <is>
          <t>Grocery</t>
        </is>
      </c>
      <c r="F587" s="20" t="inlineStr">
        <is>
          <t>Snack Bars</t>
        </is>
      </c>
      <c r="G587" s="22" t="n">
        <v>1000</v>
      </c>
      <c r="H587" s="23" t="n">
        <v>33.35</v>
      </c>
      <c r="I587" s="23" t="n">
        <v>33350</v>
      </c>
      <c r="J587" s="23" t="n">
        <v>20450</v>
      </c>
      <c r="K587">
        <f>IF(OR(COUNTIF($A$5:A587,A587)&gt;1,G587&lt;0,C587="",B587&lt;'Work 1'!$C$6,B587&gt;'Work 1'!$C$7,H587&gt;'Work 1'!$C$8*AVERAGEIF($F$5:$F$1014,F587,$H$5:$H$1014)),"Excl",IF(B587&gt;='Work 1'!$C$5,"LTM","Prior"))</f>
        <v/>
      </c>
      <c r="L587">
        <f>I587-J587</f>
        <v/>
      </c>
    </row>
    <row r="588" ht="14.25" customHeight="1" s="54">
      <c r="A588" s="20" t="inlineStr">
        <is>
          <t>BH-40582</t>
        </is>
      </c>
      <c r="B588" s="21" t="n">
        <v>45870</v>
      </c>
      <c r="C588" s="20" t="inlineStr">
        <is>
          <t>C14</t>
        </is>
      </c>
      <c r="D588" s="20" t="inlineStr">
        <is>
          <t>Oak Hollow Foods</t>
        </is>
      </c>
      <c r="E588" s="20" t="inlineStr">
        <is>
          <t>Grocery</t>
        </is>
      </c>
      <c r="F588" s="20" t="inlineStr">
        <is>
          <t>Granola</t>
        </is>
      </c>
      <c r="G588" s="22" t="n">
        <v>1068</v>
      </c>
      <c r="H588" s="23" t="n">
        <v>43.05</v>
      </c>
      <c r="I588" s="23" t="n">
        <v>45977.4</v>
      </c>
      <c r="J588" s="23" t="n">
        <v>28782.6</v>
      </c>
      <c r="K588">
        <f>IF(OR(COUNTIF($A$5:A588,A588)&gt;1,G588&lt;0,C588="",B588&lt;'Work 1'!$C$6,B588&gt;'Work 1'!$C$7,H588&gt;'Work 1'!$C$8*AVERAGEIF($F$5:$F$1014,F588,$H$5:$H$1014)),"Excl",IF(B588&gt;='Work 1'!$C$5,"LTM","Prior"))</f>
        <v/>
      </c>
      <c r="L588">
        <f>I588-J588</f>
        <v/>
      </c>
    </row>
    <row r="589" ht="14.25" customHeight="1" s="54">
      <c r="A589" s="20" t="inlineStr">
        <is>
          <t>BH-40583</t>
        </is>
      </c>
      <c r="B589" s="21" t="n">
        <v>45870</v>
      </c>
      <c r="C589" s="20" t="inlineStr">
        <is>
          <t>C14</t>
        </is>
      </c>
      <c r="D589" s="20" t="inlineStr">
        <is>
          <t>Oak Hollow Foods</t>
        </is>
      </c>
      <c r="E589" s="20" t="inlineStr">
        <is>
          <t>Grocery</t>
        </is>
      </c>
      <c r="F589" s="20" t="inlineStr">
        <is>
          <t>Nut Butter</t>
        </is>
      </c>
      <c r="G589" s="22" t="n">
        <v>411</v>
      </c>
      <c r="H589" s="23" t="n">
        <v>57.25</v>
      </c>
      <c r="I589" s="23" t="n">
        <v>23529.75</v>
      </c>
      <c r="J589" s="23" t="n">
        <v>16234.5</v>
      </c>
      <c r="K589">
        <f>IF(OR(COUNTIF($A$5:A589,A589)&gt;1,G589&lt;0,C589="",B589&lt;'Work 1'!$C$6,B589&gt;'Work 1'!$C$7,H589&gt;'Work 1'!$C$8*AVERAGEIF($F$5:$F$1014,F589,$H$5:$H$1014)),"Excl",IF(B589&gt;='Work 1'!$C$5,"LTM","Prior"))</f>
        <v/>
      </c>
      <c r="L589">
        <f>I589-J589</f>
        <v/>
      </c>
    </row>
    <row r="590" ht="14.25" customHeight="1" s="54">
      <c r="A590" s="20" t="inlineStr">
        <is>
          <t>BH-40584</t>
        </is>
      </c>
      <c r="B590" s="21" t="n">
        <v>45870</v>
      </c>
      <c r="C590" s="20" t="inlineStr">
        <is>
          <t>C14</t>
        </is>
      </c>
      <c r="D590" s="20" t="inlineStr">
        <is>
          <t>Oak Hollow Foods</t>
        </is>
      </c>
      <c r="E590" s="20" t="inlineStr">
        <is>
          <t>Grocery</t>
        </is>
      </c>
      <c r="F590" s="20" t="inlineStr">
        <is>
          <t>Snack Bars</t>
        </is>
      </c>
      <c r="G590" s="22" t="n">
        <v>710</v>
      </c>
      <c r="H590" s="23" t="n">
        <v>33.35</v>
      </c>
      <c r="I590" s="23" t="n">
        <v>23678.5</v>
      </c>
      <c r="J590" s="23" t="n">
        <v>14519.5</v>
      </c>
      <c r="K590">
        <f>IF(OR(COUNTIF($A$5:A590,A590)&gt;1,G590&lt;0,C590="",B590&lt;'Work 1'!$C$6,B590&gt;'Work 1'!$C$7,H590&gt;'Work 1'!$C$8*AVERAGEIF($F$5:$F$1014,F590,$H$5:$H$1014)),"Excl",IF(B590&gt;='Work 1'!$C$5,"LTM","Prior"))</f>
        <v/>
      </c>
      <c r="L590">
        <f>I590-J590</f>
        <v/>
      </c>
    </row>
    <row r="591" ht="14.25" customHeight="1" s="54">
      <c r="A591" s="20" t="inlineStr">
        <is>
          <t>BH-40585</t>
        </is>
      </c>
      <c r="B591" s="21" t="n">
        <v>45870</v>
      </c>
      <c r="C591" s="20" t="inlineStr">
        <is>
          <t>C15</t>
        </is>
      </c>
      <c r="D591" s="20" t="inlineStr">
        <is>
          <t>Prairie Fresh</t>
        </is>
      </c>
      <c r="E591" s="20" t="inlineStr">
        <is>
          <t>Grocery</t>
        </is>
      </c>
      <c r="F591" s="20" t="inlineStr">
        <is>
          <t>Granola</t>
        </is>
      </c>
      <c r="G591" s="22" t="n">
        <v>1339</v>
      </c>
      <c r="H591" s="23" t="n">
        <v>43.05</v>
      </c>
      <c r="I591" s="23" t="n">
        <v>57643.95</v>
      </c>
      <c r="J591" s="23" t="n">
        <v>36086.05</v>
      </c>
      <c r="K591">
        <f>IF(OR(COUNTIF($A$5:A591,A591)&gt;1,G591&lt;0,C591="",B591&lt;'Work 1'!$C$6,B591&gt;'Work 1'!$C$7,H591&gt;'Work 1'!$C$8*AVERAGEIF($F$5:$F$1014,F591,$H$5:$H$1014)),"Excl",IF(B591&gt;='Work 1'!$C$5,"LTM","Prior"))</f>
        <v/>
      </c>
      <c r="L591">
        <f>I591-J591</f>
        <v/>
      </c>
    </row>
    <row r="592" ht="14.25" customHeight="1" s="54">
      <c r="A592" s="20" t="inlineStr">
        <is>
          <t>BH-40586</t>
        </is>
      </c>
      <c r="B592" s="21" t="n">
        <v>45870</v>
      </c>
      <c r="C592" s="20" t="inlineStr">
        <is>
          <t>C15</t>
        </is>
      </c>
      <c r="D592" s="20" t="inlineStr">
        <is>
          <t>Prairie Fresh</t>
        </is>
      </c>
      <c r="E592" s="20" t="inlineStr">
        <is>
          <t>Grocery</t>
        </is>
      </c>
      <c r="F592" s="20" t="inlineStr">
        <is>
          <t>Snack Bars</t>
        </is>
      </c>
      <c r="G592" s="22" t="n">
        <v>1024</v>
      </c>
      <c r="H592" s="23" t="n">
        <v>33.35</v>
      </c>
      <c r="I592" s="23" t="n">
        <v>34150.4</v>
      </c>
      <c r="J592" s="23" t="n">
        <v>20940.8</v>
      </c>
      <c r="K592">
        <f>IF(OR(COUNTIF($A$5:A592,A592)&gt;1,G592&lt;0,C592="",B592&lt;'Work 1'!$C$6,B592&gt;'Work 1'!$C$7,H592&gt;'Work 1'!$C$8*AVERAGEIF($F$5:$F$1014,F592,$H$5:$H$1014)),"Excl",IF(B592&gt;='Work 1'!$C$5,"LTM","Prior"))</f>
        <v/>
      </c>
      <c r="L592">
        <f>I592-J592</f>
        <v/>
      </c>
    </row>
    <row r="593" ht="14.25" customHeight="1" s="54">
      <c r="A593" s="20" t="inlineStr">
        <is>
          <t>BH-40587</t>
        </is>
      </c>
      <c r="B593" s="21" t="n">
        <v>45870</v>
      </c>
      <c r="C593" s="20" t="inlineStr">
        <is>
          <t>C16</t>
        </is>
      </c>
      <c r="D593" s="20" t="inlineStr">
        <is>
          <t>Bay Street Market</t>
        </is>
      </c>
      <c r="E593" s="20" t="inlineStr">
        <is>
          <t>Grocery</t>
        </is>
      </c>
      <c r="F593" s="20" t="inlineStr">
        <is>
          <t>Granola</t>
        </is>
      </c>
      <c r="G593" s="22" t="n">
        <v>945</v>
      </c>
      <c r="H593" s="23" t="n">
        <v>43.05</v>
      </c>
      <c r="I593" s="23" t="n">
        <v>40682.25</v>
      </c>
      <c r="J593" s="23" t="n">
        <v>25467.75</v>
      </c>
      <c r="K593">
        <f>IF(OR(COUNTIF($A$5:A593,A593)&gt;1,G593&lt;0,C593="",B593&lt;'Work 1'!$C$6,B593&gt;'Work 1'!$C$7,H593&gt;'Work 1'!$C$8*AVERAGEIF($F$5:$F$1014,F593,$H$5:$H$1014)),"Excl",IF(B593&gt;='Work 1'!$C$5,"LTM","Prior"))</f>
        <v/>
      </c>
      <c r="L593">
        <f>I593-J593</f>
        <v/>
      </c>
    </row>
    <row r="594" ht="14.25" customHeight="1" s="54">
      <c r="A594" s="20" t="inlineStr">
        <is>
          <t>BH-40588</t>
        </is>
      </c>
      <c r="B594" s="21" t="n">
        <v>45870</v>
      </c>
      <c r="C594" s="20" t="inlineStr">
        <is>
          <t>C16</t>
        </is>
      </c>
      <c r="D594" s="20" t="inlineStr">
        <is>
          <t>Bay Street Market</t>
        </is>
      </c>
      <c r="E594" s="20" t="inlineStr">
        <is>
          <t>Grocery</t>
        </is>
      </c>
      <c r="F594" s="20" t="inlineStr">
        <is>
          <t>Nut Butter</t>
        </is>
      </c>
      <c r="G594" s="22" t="n">
        <v>598</v>
      </c>
      <c r="H594" s="23" t="n">
        <v>57.25</v>
      </c>
      <c r="I594" s="23" t="n">
        <v>34235.5</v>
      </c>
      <c r="J594" s="23" t="n">
        <v>23621</v>
      </c>
      <c r="K594">
        <f>IF(OR(COUNTIF($A$5:A594,A594)&gt;1,G594&lt;0,C594="",B594&lt;'Work 1'!$C$6,B594&gt;'Work 1'!$C$7,H594&gt;'Work 1'!$C$8*AVERAGEIF($F$5:$F$1014,F594,$H$5:$H$1014)),"Excl",IF(B594&gt;='Work 1'!$C$5,"LTM","Prior"))</f>
        <v/>
      </c>
      <c r="L594">
        <f>I594-J594</f>
        <v/>
      </c>
    </row>
    <row r="595" ht="14.25" customHeight="1" s="54">
      <c r="A595" s="20" t="inlineStr">
        <is>
          <t>BH-40589</t>
        </is>
      </c>
      <c r="B595" s="21" t="n">
        <v>45901</v>
      </c>
      <c r="C595" s="20" t="inlineStr">
        <is>
          <t>C01</t>
        </is>
      </c>
      <c r="D595" s="20" t="inlineStr">
        <is>
          <t>Northfield Markets</t>
        </is>
      </c>
      <c r="E595" s="20" t="inlineStr">
        <is>
          <t>Grocery</t>
        </is>
      </c>
      <c r="F595" s="20" t="inlineStr">
        <is>
          <t>Granola</t>
        </is>
      </c>
      <c r="G595" s="22" t="n">
        <v>15159</v>
      </c>
      <c r="H595" s="23" t="n">
        <v>39.61</v>
      </c>
      <c r="I595" s="23" t="n">
        <v>600447.99</v>
      </c>
      <c r="J595" s="23" t="n">
        <v>408535.05</v>
      </c>
      <c r="K595">
        <f>IF(OR(COUNTIF($A$5:A595,A595)&gt;1,G595&lt;0,C595="",B595&lt;'Work 1'!$C$6,B595&gt;'Work 1'!$C$7,H595&gt;'Work 1'!$C$8*AVERAGEIF($F$5:$F$1014,F595,$H$5:$H$1014)),"Excl",IF(B595&gt;='Work 1'!$C$5,"LTM","Prior"))</f>
        <v/>
      </c>
      <c r="L595">
        <f>I595-J595</f>
        <v/>
      </c>
    </row>
    <row r="596" ht="14.25" customHeight="1" s="54">
      <c r="A596" s="20" t="inlineStr">
        <is>
          <t>BH-40590</t>
        </is>
      </c>
      <c r="B596" s="21" t="n">
        <v>45901</v>
      </c>
      <c r="C596" s="20" t="inlineStr">
        <is>
          <t>C01</t>
        </is>
      </c>
      <c r="D596" s="20" t="inlineStr">
        <is>
          <t>Northfield Markets</t>
        </is>
      </c>
      <c r="E596" s="20" t="inlineStr">
        <is>
          <t>Grocery</t>
        </is>
      </c>
      <c r="F596" s="20" t="inlineStr">
        <is>
          <t>Nut Butter</t>
        </is>
      </c>
      <c r="G596" s="22" t="n">
        <v>7458</v>
      </c>
      <c r="H596" s="23" t="n">
        <v>52.67</v>
      </c>
      <c r="I596" s="23" t="n">
        <v>392812.86</v>
      </c>
      <c r="J596" s="23" t="n">
        <v>294591</v>
      </c>
      <c r="K596">
        <f>IF(OR(COUNTIF($A$5:A596,A596)&gt;1,G596&lt;0,C596="",B596&lt;'Work 1'!$C$6,B596&gt;'Work 1'!$C$7,H596&gt;'Work 1'!$C$8*AVERAGEIF($F$5:$F$1014,F596,$H$5:$H$1014)),"Excl",IF(B596&gt;='Work 1'!$C$5,"LTM","Prior"))</f>
        <v/>
      </c>
      <c r="L596">
        <f>I596-J596</f>
        <v/>
      </c>
    </row>
    <row r="597" ht="14.25" customHeight="1" s="54">
      <c r="A597" s="20" t="inlineStr">
        <is>
          <t>BH-40591</t>
        </is>
      </c>
      <c r="B597" s="21" t="n">
        <v>45901</v>
      </c>
      <c r="C597" s="20" t="inlineStr">
        <is>
          <t>C01</t>
        </is>
      </c>
      <c r="D597" s="20" t="inlineStr">
        <is>
          <t>Northfield Markets</t>
        </is>
      </c>
      <c r="E597" s="20" t="inlineStr">
        <is>
          <t>Grocery</t>
        </is>
      </c>
      <c r="F597" s="20" t="inlineStr">
        <is>
          <t>Snack Bars</t>
        </is>
      </c>
      <c r="G597" s="22" t="n">
        <v>11446</v>
      </c>
      <c r="H597" s="23" t="n">
        <v>30.68</v>
      </c>
      <c r="I597" s="23" t="n">
        <v>351163.28</v>
      </c>
      <c r="J597" s="23" t="n">
        <v>234070.7</v>
      </c>
      <c r="K597">
        <f>IF(OR(COUNTIF($A$5:A597,A597)&gt;1,G597&lt;0,C597="",B597&lt;'Work 1'!$C$6,B597&gt;'Work 1'!$C$7,H597&gt;'Work 1'!$C$8*AVERAGEIF($F$5:$F$1014,F597,$H$5:$H$1014)),"Excl",IF(B597&gt;='Work 1'!$C$5,"LTM","Prior"))</f>
        <v/>
      </c>
      <c r="L597">
        <f>I597-J597</f>
        <v/>
      </c>
    </row>
    <row r="598" ht="14.25" customHeight="1" s="54">
      <c r="A598" s="20" t="inlineStr">
        <is>
          <t>BH-40592</t>
        </is>
      </c>
      <c r="B598" s="21" t="n">
        <v>45901</v>
      </c>
      <c r="C598" s="20" t="inlineStr">
        <is>
          <t>C02</t>
        </is>
      </c>
      <c r="D598" s="20" t="inlineStr">
        <is>
          <t>Crestline Grocers</t>
        </is>
      </c>
      <c r="E598" s="20" t="inlineStr">
        <is>
          <t>Grocery</t>
        </is>
      </c>
      <c r="F598" s="20" t="inlineStr">
        <is>
          <t>Granola</t>
        </is>
      </c>
      <c r="G598" s="22" t="n">
        <v>4052</v>
      </c>
      <c r="H598" s="23" t="n">
        <v>41.76</v>
      </c>
      <c r="I598" s="23" t="n">
        <v>169211.52</v>
      </c>
      <c r="J598" s="23" t="n">
        <v>109201.4</v>
      </c>
      <c r="K598">
        <f>IF(OR(COUNTIF($A$5:A598,A598)&gt;1,G598&lt;0,C598="",B598&lt;'Work 1'!$C$6,B598&gt;'Work 1'!$C$7,H598&gt;'Work 1'!$C$8*AVERAGEIF($F$5:$F$1014,F598,$H$5:$H$1014)),"Excl",IF(B598&gt;='Work 1'!$C$5,"LTM","Prior"))</f>
        <v/>
      </c>
      <c r="L598">
        <f>I598-J598</f>
        <v/>
      </c>
    </row>
    <row r="599" ht="14.25" customHeight="1" s="54">
      <c r="A599" s="20" t="inlineStr">
        <is>
          <t>BH-40593</t>
        </is>
      </c>
      <c r="B599" s="21" t="n">
        <v>45901</v>
      </c>
      <c r="C599" s="20" t="inlineStr">
        <is>
          <t>C02</t>
        </is>
      </c>
      <c r="D599" s="20" t="inlineStr">
        <is>
          <t>Crestline Grocers</t>
        </is>
      </c>
      <c r="E599" s="20" t="inlineStr">
        <is>
          <t>Grocery</t>
        </is>
      </c>
      <c r="F599" s="20" t="inlineStr">
        <is>
          <t>Nut Butter</t>
        </is>
      </c>
      <c r="G599" s="22" t="n">
        <v>2014</v>
      </c>
      <c r="H599" s="23" t="n">
        <v>55.53</v>
      </c>
      <c r="I599" s="23" t="n">
        <v>111837.42</v>
      </c>
      <c r="J599" s="23" t="n">
        <v>79553</v>
      </c>
      <c r="K599">
        <f>IF(OR(COUNTIF($A$5:A599,A599)&gt;1,G599&lt;0,C599="",B599&lt;'Work 1'!$C$6,B599&gt;'Work 1'!$C$7,H599&gt;'Work 1'!$C$8*AVERAGEIF($F$5:$F$1014,F599,$H$5:$H$1014)),"Excl",IF(B599&gt;='Work 1'!$C$5,"LTM","Prior"))</f>
        <v/>
      </c>
      <c r="L599">
        <f>I599-J599</f>
        <v/>
      </c>
    </row>
    <row r="600" ht="14.25" customHeight="1" s="54">
      <c r="A600" s="20" t="inlineStr">
        <is>
          <t>BH-40594</t>
        </is>
      </c>
      <c r="B600" s="21" t="n">
        <v>45901</v>
      </c>
      <c r="C600" s="20" t="inlineStr">
        <is>
          <t>C02</t>
        </is>
      </c>
      <c r="D600" s="20" t="inlineStr">
        <is>
          <t>Crestline Grocers</t>
        </is>
      </c>
      <c r="E600" s="20" t="inlineStr">
        <is>
          <t>Grocery</t>
        </is>
      </c>
      <c r="F600" s="20" t="inlineStr">
        <is>
          <t>Snack Bars</t>
        </is>
      </c>
      <c r="G600" s="22" t="n">
        <v>3623</v>
      </c>
      <c r="H600" s="23" t="n">
        <v>32.35</v>
      </c>
      <c r="I600" s="23" t="n">
        <v>117204.05</v>
      </c>
      <c r="J600" s="23" t="n">
        <v>74090.35000000001</v>
      </c>
      <c r="K600">
        <f>IF(OR(COUNTIF($A$5:A600,A600)&gt;1,G600&lt;0,C600="",B600&lt;'Work 1'!$C$6,B600&gt;'Work 1'!$C$7,H600&gt;'Work 1'!$C$8*AVERAGEIF($F$5:$F$1014,F600,$H$5:$H$1014)),"Excl",IF(B600&gt;='Work 1'!$C$5,"LTM","Prior"))</f>
        <v/>
      </c>
      <c r="L600">
        <f>I600-J600</f>
        <v/>
      </c>
    </row>
    <row r="601" ht="14.25" customHeight="1" s="54">
      <c r="A601" s="20" t="inlineStr">
        <is>
          <t>BH-40595</t>
        </is>
      </c>
      <c r="B601" s="21" t="n">
        <v>45901</v>
      </c>
      <c r="C601" s="20" t="inlineStr">
        <is>
          <t>C03</t>
        </is>
      </c>
      <c r="D601" s="20" t="inlineStr">
        <is>
          <t>ValuClub Warehouse</t>
        </is>
      </c>
      <c r="E601" s="20" t="inlineStr">
        <is>
          <t>Club</t>
        </is>
      </c>
      <c r="F601" s="20" t="inlineStr">
        <is>
          <t>Granola</t>
        </is>
      </c>
      <c r="G601" s="22" t="n">
        <v>12524</v>
      </c>
      <c r="H601" s="23" t="n">
        <v>36.6</v>
      </c>
      <c r="I601" s="23" t="n">
        <v>458378.4</v>
      </c>
      <c r="J601" s="23" t="n">
        <v>337521.8</v>
      </c>
      <c r="K601">
        <f>IF(OR(COUNTIF($A$5:A601,A601)&gt;1,G601&lt;0,C601="",B601&lt;'Work 1'!$C$6,B601&gt;'Work 1'!$C$7,H601&gt;'Work 1'!$C$8*AVERAGEIF($F$5:$F$1014,F601,$H$5:$H$1014)),"Excl",IF(B601&gt;='Work 1'!$C$5,"LTM","Prior"))</f>
        <v/>
      </c>
      <c r="L601">
        <f>I601-J601</f>
        <v/>
      </c>
    </row>
    <row r="602" ht="14.25" customHeight="1" s="54">
      <c r="A602" s="20" t="inlineStr">
        <is>
          <t>BH-40596</t>
        </is>
      </c>
      <c r="B602" s="21" t="n">
        <v>45901</v>
      </c>
      <c r="C602" s="20" t="inlineStr">
        <is>
          <t>C03</t>
        </is>
      </c>
      <c r="D602" s="20" t="inlineStr">
        <is>
          <t>ValuClub Warehouse</t>
        </is>
      </c>
      <c r="E602" s="20" t="inlineStr">
        <is>
          <t>Club</t>
        </is>
      </c>
      <c r="F602" s="20" t="inlineStr">
        <is>
          <t>Snack Bars</t>
        </is>
      </c>
      <c r="G602" s="22" t="n">
        <v>13830</v>
      </c>
      <c r="H602" s="23" t="n">
        <v>25.35</v>
      </c>
      <c r="I602" s="23" t="n">
        <v>350590.5</v>
      </c>
      <c r="J602" s="23" t="n">
        <v>282823.5</v>
      </c>
      <c r="K602">
        <f>IF(OR(COUNTIF($A$5:A602,A602)&gt;1,G602&lt;0,C602="",B602&lt;'Work 1'!$C$6,B602&gt;'Work 1'!$C$7,H602&gt;'Work 1'!$C$8*AVERAGEIF($F$5:$F$1014,F602,$H$5:$H$1014)),"Excl",IF(B602&gt;='Work 1'!$C$5,"LTM","Prior"))</f>
        <v/>
      </c>
      <c r="L602">
        <f>I602-J602</f>
        <v/>
      </c>
    </row>
    <row r="603" ht="14.25" customHeight="1" s="54">
      <c r="A603" s="20" t="inlineStr">
        <is>
          <t>BH-40597</t>
        </is>
      </c>
      <c r="B603" s="21" t="n">
        <v>45901</v>
      </c>
      <c r="C603" s="20" t="inlineStr">
        <is>
          <t>C04</t>
        </is>
      </c>
      <c r="D603" s="20" t="inlineStr">
        <is>
          <t>Harvest Lane Co-op</t>
        </is>
      </c>
      <c r="E603" s="20" t="inlineStr">
        <is>
          <t>Grocery</t>
        </is>
      </c>
      <c r="F603" s="20" t="inlineStr">
        <is>
          <t>Granola</t>
        </is>
      </c>
      <c r="G603" s="22" t="n">
        <v>2800</v>
      </c>
      <c r="H603" s="23" t="n">
        <v>43.05</v>
      </c>
      <c r="I603" s="23" t="n">
        <v>120540</v>
      </c>
      <c r="J603" s="23" t="n">
        <v>75460</v>
      </c>
      <c r="K603">
        <f>IF(OR(COUNTIF($A$5:A603,A603)&gt;1,G603&lt;0,C603="",B603&lt;'Work 1'!$C$6,B603&gt;'Work 1'!$C$7,H603&gt;'Work 1'!$C$8*AVERAGEIF($F$5:$F$1014,F603,$H$5:$H$1014)),"Excl",IF(B603&gt;='Work 1'!$C$5,"LTM","Prior"))</f>
        <v/>
      </c>
      <c r="L603">
        <f>I603-J603</f>
        <v/>
      </c>
    </row>
    <row r="604" ht="14.25" customHeight="1" s="54">
      <c r="A604" s="20" t="inlineStr">
        <is>
          <t>BH-40598</t>
        </is>
      </c>
      <c r="B604" s="21" t="n">
        <v>45901</v>
      </c>
      <c r="C604" s="20" t="inlineStr">
        <is>
          <t>C04</t>
        </is>
      </c>
      <c r="D604" s="20" t="inlineStr">
        <is>
          <t>Harvest Lane Co-op</t>
        </is>
      </c>
      <c r="E604" s="20" t="inlineStr">
        <is>
          <t>Grocery</t>
        </is>
      </c>
      <c r="F604" s="20" t="inlineStr">
        <is>
          <t>Nut Butter</t>
        </is>
      </c>
      <c r="G604" s="22" t="n">
        <v>1594</v>
      </c>
      <c r="H604" s="23" t="n">
        <v>57.25</v>
      </c>
      <c r="I604" s="23" t="n">
        <v>91256.5</v>
      </c>
      <c r="J604" s="23" t="n">
        <v>62963</v>
      </c>
      <c r="K604">
        <f>IF(OR(COUNTIF($A$5:A604,A604)&gt;1,G604&lt;0,C604="",B604&lt;'Work 1'!$C$6,B604&gt;'Work 1'!$C$7,H604&gt;'Work 1'!$C$8*AVERAGEIF($F$5:$F$1014,F604,$H$5:$H$1014)),"Excl",IF(B604&gt;='Work 1'!$C$5,"LTM","Prior"))</f>
        <v/>
      </c>
      <c r="L604">
        <f>I604-J604</f>
        <v/>
      </c>
    </row>
    <row r="605" ht="14.25" customHeight="1" s="54">
      <c r="A605" s="20" t="inlineStr">
        <is>
          <t>BH-40599</t>
        </is>
      </c>
      <c r="B605" s="21" t="n">
        <v>45901</v>
      </c>
      <c r="C605" s="20" t="inlineStr">
        <is>
          <t>C04</t>
        </is>
      </c>
      <c r="D605" s="20" t="inlineStr">
        <is>
          <t>Harvest Lane Co-op</t>
        </is>
      </c>
      <c r="E605" s="20" t="inlineStr">
        <is>
          <t>Grocery</t>
        </is>
      </c>
      <c r="F605" s="20" t="inlineStr">
        <is>
          <t>Snack Bars</t>
        </is>
      </c>
      <c r="G605" s="22" t="n">
        <v>1867</v>
      </c>
      <c r="H605" s="23" t="n">
        <v>33.35</v>
      </c>
      <c r="I605" s="23" t="n">
        <v>62264.45</v>
      </c>
      <c r="J605" s="23" t="n">
        <v>38180.15</v>
      </c>
      <c r="K605">
        <f>IF(OR(COUNTIF($A$5:A605,A605)&gt;1,G605&lt;0,C605="",B605&lt;'Work 1'!$C$6,B605&gt;'Work 1'!$C$7,H605&gt;'Work 1'!$C$8*AVERAGEIF($F$5:$F$1014,F605,$H$5:$H$1014)),"Excl",IF(B605&gt;='Work 1'!$C$5,"LTM","Prior"))</f>
        <v/>
      </c>
      <c r="L605">
        <f>I605-J605</f>
        <v/>
      </c>
    </row>
    <row r="606" ht="14.25" customHeight="1" s="54">
      <c r="A606" s="20" t="inlineStr">
        <is>
          <t>BH-40600</t>
        </is>
      </c>
      <c r="B606" s="21" t="n">
        <v>45901</v>
      </c>
      <c r="C606" s="20" t="inlineStr">
        <is>
          <t>C05</t>
        </is>
      </c>
      <c r="D606" s="20" t="inlineStr">
        <is>
          <t>Pioneer Foods Distribution</t>
        </is>
      </c>
      <c r="E606" s="20" t="inlineStr">
        <is>
          <t>Grocery</t>
        </is>
      </c>
      <c r="F606" s="20" t="inlineStr">
        <is>
          <t>Granola</t>
        </is>
      </c>
      <c r="G606" s="22" t="n">
        <v>3563</v>
      </c>
      <c r="H606" s="23" t="n">
        <v>38.74</v>
      </c>
      <c r="I606" s="23" t="n">
        <v>138030.62</v>
      </c>
      <c r="J606" s="23" t="n">
        <v>96022.85000000001</v>
      </c>
      <c r="K606">
        <f>IF(OR(COUNTIF($A$5:A606,A606)&gt;1,G606&lt;0,C606="",B606&lt;'Work 1'!$C$6,B606&gt;'Work 1'!$C$7,H606&gt;'Work 1'!$C$8*AVERAGEIF($F$5:$F$1014,F606,$H$5:$H$1014)),"Excl",IF(B606&gt;='Work 1'!$C$5,"LTM","Prior"))</f>
        <v/>
      </c>
      <c r="L606">
        <f>I606-J606</f>
        <v/>
      </c>
    </row>
    <row r="607" ht="14.25" customHeight="1" s="54">
      <c r="A607" s="20" t="inlineStr">
        <is>
          <t>BH-40601</t>
        </is>
      </c>
      <c r="B607" s="21" t="n">
        <v>45901</v>
      </c>
      <c r="C607" s="20" t="inlineStr">
        <is>
          <t>C05</t>
        </is>
      </c>
      <c r="D607" s="20" t="inlineStr">
        <is>
          <t>Pioneer Foods Distribution</t>
        </is>
      </c>
      <c r="E607" s="20" t="inlineStr">
        <is>
          <t>Grocery</t>
        </is>
      </c>
      <c r="F607" s="20" t="inlineStr">
        <is>
          <t>Nut Butter</t>
        </is>
      </c>
      <c r="G607" s="22" t="n">
        <v>1983</v>
      </c>
      <c r="H607" s="23" t="n">
        <v>51.52</v>
      </c>
      <c r="I607" s="23" t="n">
        <v>102164.16</v>
      </c>
      <c r="J607" s="23" t="n">
        <v>78328.5</v>
      </c>
      <c r="K607">
        <f>IF(OR(COUNTIF($A$5:A607,A607)&gt;1,G607&lt;0,C607="",B607&lt;'Work 1'!$C$6,B607&gt;'Work 1'!$C$7,H607&gt;'Work 1'!$C$8*AVERAGEIF($F$5:$F$1014,F607,$H$5:$H$1014)),"Excl",IF(B607&gt;='Work 1'!$C$5,"LTM","Prior"))</f>
        <v/>
      </c>
      <c r="L607">
        <f>I607-J607</f>
        <v/>
      </c>
    </row>
    <row r="608" ht="14.25" customHeight="1" s="54">
      <c r="A608" s="20" t="inlineStr">
        <is>
          <t>BH-40602</t>
        </is>
      </c>
      <c r="B608" s="21" t="n">
        <v>45901</v>
      </c>
      <c r="C608" s="20" t="inlineStr">
        <is>
          <t>C05</t>
        </is>
      </c>
      <c r="D608" s="20" t="inlineStr">
        <is>
          <t>Pioneer Foods Distribution</t>
        </is>
      </c>
      <c r="E608" s="20" t="inlineStr">
        <is>
          <t>Grocery</t>
        </is>
      </c>
      <c r="F608" s="20" t="inlineStr">
        <is>
          <t>Snack Bars</t>
        </is>
      </c>
      <c r="G608" s="22" t="n">
        <v>3077</v>
      </c>
      <c r="H608" s="23" t="n">
        <v>30.02</v>
      </c>
      <c r="I608" s="23" t="n">
        <v>92371.53999999999</v>
      </c>
      <c r="J608" s="23" t="n">
        <v>62924.65</v>
      </c>
      <c r="K608">
        <f>IF(OR(COUNTIF($A$5:A608,A608)&gt;1,G608&lt;0,C608="",B608&lt;'Work 1'!$C$6,B608&gt;'Work 1'!$C$7,H608&gt;'Work 1'!$C$8*AVERAGEIF($F$5:$F$1014,F608,$H$5:$H$1014)),"Excl",IF(B608&gt;='Work 1'!$C$5,"LTM","Prior"))</f>
        <v/>
      </c>
      <c r="L608">
        <f>I608-J608</f>
        <v/>
      </c>
    </row>
    <row r="609" ht="14.25" customHeight="1" s="54">
      <c r="A609" s="20" t="inlineStr">
        <is>
          <t>BH-40603</t>
        </is>
      </c>
      <c r="B609" s="21" t="n">
        <v>45901</v>
      </c>
      <c r="C609" s="20" t="inlineStr">
        <is>
          <t>C06</t>
        </is>
      </c>
      <c r="D609" s="20" t="inlineStr">
        <is>
          <t>Summit Club Stores</t>
        </is>
      </c>
      <c r="E609" s="20" t="inlineStr">
        <is>
          <t>Club</t>
        </is>
      </c>
      <c r="F609" s="20" t="inlineStr">
        <is>
          <t>Granola</t>
        </is>
      </c>
      <c r="G609" s="22" t="n">
        <v>5012</v>
      </c>
      <c r="H609" s="23" t="n">
        <v>36.6</v>
      </c>
      <c r="I609" s="23" t="n">
        <v>183439.2</v>
      </c>
      <c r="J609" s="23" t="n">
        <v>135073.4</v>
      </c>
      <c r="K609">
        <f>IF(OR(COUNTIF($A$5:A609,A609)&gt;1,G609&lt;0,C609="",B609&lt;'Work 1'!$C$6,B609&gt;'Work 1'!$C$7,H609&gt;'Work 1'!$C$8*AVERAGEIF($F$5:$F$1014,F609,$H$5:$H$1014)),"Excl",IF(B609&gt;='Work 1'!$C$5,"LTM","Prior"))</f>
        <v/>
      </c>
      <c r="L609">
        <f>I609-J609</f>
        <v/>
      </c>
    </row>
    <row r="610" ht="14.25" customHeight="1" s="54">
      <c r="A610" s="20" t="inlineStr">
        <is>
          <t>BH-40604</t>
        </is>
      </c>
      <c r="B610" s="21" t="n">
        <v>45901</v>
      </c>
      <c r="C610" s="20" t="inlineStr">
        <is>
          <t>C06</t>
        </is>
      </c>
      <c r="D610" s="20" t="inlineStr">
        <is>
          <t>Summit Club Stores</t>
        </is>
      </c>
      <c r="E610" s="20" t="inlineStr">
        <is>
          <t>Club</t>
        </is>
      </c>
      <c r="F610" s="20" t="inlineStr">
        <is>
          <t>Nut Butter</t>
        </is>
      </c>
      <c r="G610" s="22" t="n">
        <v>2757</v>
      </c>
      <c r="H610" s="23" t="n">
        <v>48.75</v>
      </c>
      <c r="I610" s="23" t="n">
        <v>134403.75</v>
      </c>
      <c r="J610" s="23" t="n">
        <v>108901.5</v>
      </c>
      <c r="K610">
        <f>IF(OR(COUNTIF($A$5:A610,A610)&gt;1,G610&lt;0,C610="",B610&lt;'Work 1'!$C$6,B610&gt;'Work 1'!$C$7,H610&gt;'Work 1'!$C$8*AVERAGEIF($F$5:$F$1014,F610,$H$5:$H$1014)),"Excl",IF(B610&gt;='Work 1'!$C$5,"LTM","Prior"))</f>
        <v/>
      </c>
      <c r="L610">
        <f>I610-J610</f>
        <v/>
      </c>
    </row>
    <row r="611" ht="14.25" customHeight="1" s="54">
      <c r="A611" s="20" t="inlineStr">
        <is>
          <t>BH-40605</t>
        </is>
      </c>
      <c r="B611" s="21" t="n">
        <v>45901</v>
      </c>
      <c r="C611" s="20" t="inlineStr">
        <is>
          <t>C07</t>
        </is>
      </c>
      <c r="D611" s="20" t="inlineStr">
        <is>
          <t>Bramble Hill Online Store</t>
        </is>
      </c>
      <c r="E611" s="20" t="inlineStr">
        <is>
          <t>Online</t>
        </is>
      </c>
      <c r="F611" s="20" t="inlineStr">
        <is>
          <t>Granola</t>
        </is>
      </c>
      <c r="G611" s="22" t="n">
        <v>3612</v>
      </c>
      <c r="H611" s="23" t="n">
        <v>49.4</v>
      </c>
      <c r="I611" s="23" t="n">
        <v>178432.8</v>
      </c>
      <c r="J611" s="23" t="n">
        <v>97343.39999999999</v>
      </c>
      <c r="K611">
        <f>IF(OR(COUNTIF($A$5:A611,A611)&gt;1,G611&lt;0,C611="",B611&lt;'Work 1'!$C$6,B611&gt;'Work 1'!$C$7,H611&gt;'Work 1'!$C$8*AVERAGEIF($F$5:$F$1014,F611,$H$5:$H$1014)),"Excl",IF(B611&gt;='Work 1'!$C$5,"LTM","Prior"))</f>
        <v/>
      </c>
      <c r="L611">
        <f>I611-J611</f>
        <v/>
      </c>
    </row>
    <row r="612" ht="14.25" customHeight="1" s="54">
      <c r="A612" s="20" t="inlineStr">
        <is>
          <t>BH-40606</t>
        </is>
      </c>
      <c r="B612" s="21" t="n">
        <v>45901</v>
      </c>
      <c r="C612" s="20" t="inlineStr">
        <is>
          <t>C07</t>
        </is>
      </c>
      <c r="D612" s="20" t="inlineStr">
        <is>
          <t>Bramble Hill Online Store</t>
        </is>
      </c>
      <c r="E612" s="20" t="inlineStr">
        <is>
          <t>Online</t>
        </is>
      </c>
      <c r="F612" s="20" t="inlineStr">
        <is>
          <t>Nut Butter</t>
        </is>
      </c>
      <c r="G612" s="22" t="n">
        <v>2012</v>
      </c>
      <c r="H612" s="23" t="n">
        <v>64.40000000000001</v>
      </c>
      <c r="I612" s="23" t="n">
        <v>129572.8</v>
      </c>
      <c r="J612" s="23" t="n">
        <v>79474</v>
      </c>
      <c r="K612">
        <f>IF(OR(COUNTIF($A$5:A612,A612)&gt;1,G612&lt;0,C612="",B612&lt;'Work 1'!$C$6,B612&gt;'Work 1'!$C$7,H612&gt;'Work 1'!$C$8*AVERAGEIF($F$5:$F$1014,F612,$H$5:$H$1014)),"Excl",IF(B612&gt;='Work 1'!$C$5,"LTM","Prior"))</f>
        <v/>
      </c>
      <c r="L612">
        <f>I612-J612</f>
        <v/>
      </c>
    </row>
    <row r="613" ht="14.25" customHeight="1" s="54">
      <c r="A613" s="20" t="inlineStr">
        <is>
          <t>BH-40607</t>
        </is>
      </c>
      <c r="B613" s="21" t="n">
        <v>45901</v>
      </c>
      <c r="C613" s="20" t="inlineStr">
        <is>
          <t>C07</t>
        </is>
      </c>
      <c r="D613" s="20" t="inlineStr">
        <is>
          <t>Bramble Hill Online Store</t>
        </is>
      </c>
      <c r="E613" s="20" t="inlineStr">
        <is>
          <t>Online</t>
        </is>
      </c>
      <c r="F613" s="20" t="inlineStr">
        <is>
          <t>Snack Bars</t>
        </is>
      </c>
      <c r="G613" s="22" t="n">
        <v>2497</v>
      </c>
      <c r="H613" s="23" t="n">
        <v>39.3</v>
      </c>
      <c r="I613" s="23" t="n">
        <v>98132.10000000001</v>
      </c>
      <c r="J613" s="23" t="n">
        <v>51063.65</v>
      </c>
      <c r="K613">
        <f>IF(OR(COUNTIF($A$5:A613,A613)&gt;1,G613&lt;0,C613="",B613&lt;'Work 1'!$C$6,B613&gt;'Work 1'!$C$7,H613&gt;'Work 1'!$C$8*AVERAGEIF($F$5:$F$1014,F613,$H$5:$H$1014)),"Excl",IF(B613&gt;='Work 1'!$C$5,"LTM","Prior"))</f>
        <v/>
      </c>
      <c r="L613">
        <f>I613-J613</f>
        <v/>
      </c>
    </row>
    <row r="614" ht="14.25" customHeight="1" s="54">
      <c r="A614" s="20" t="inlineStr">
        <is>
          <t>BH-40608</t>
        </is>
      </c>
      <c r="B614" s="21" t="n">
        <v>45901</v>
      </c>
      <c r="C614" s="20" t="inlineStr">
        <is>
          <t>C08</t>
        </is>
      </c>
      <c r="D614" s="20" t="inlineStr">
        <is>
          <t>Online Marketplace</t>
        </is>
      </c>
      <c r="E614" s="20" t="inlineStr">
        <is>
          <t>Online</t>
        </is>
      </c>
      <c r="F614" s="20" t="inlineStr">
        <is>
          <t>Granola</t>
        </is>
      </c>
      <c r="G614" s="22" t="n">
        <v>3773</v>
      </c>
      <c r="H614" s="23" t="n">
        <v>43.47</v>
      </c>
      <c r="I614" s="23" t="n">
        <v>164012.31</v>
      </c>
      <c r="J614" s="23" t="n">
        <v>101682.35</v>
      </c>
      <c r="K614">
        <f>IF(OR(COUNTIF($A$5:A614,A614)&gt;1,G614&lt;0,C614="",B614&lt;'Work 1'!$C$6,B614&gt;'Work 1'!$C$7,H614&gt;'Work 1'!$C$8*AVERAGEIF($F$5:$F$1014,F614,$H$5:$H$1014)),"Excl",IF(B614&gt;='Work 1'!$C$5,"LTM","Prior"))</f>
        <v/>
      </c>
      <c r="L614">
        <f>I614-J614</f>
        <v/>
      </c>
    </row>
    <row r="615" ht="14.25" customHeight="1" s="54">
      <c r="A615" s="20" t="inlineStr">
        <is>
          <t>BH-40609</t>
        </is>
      </c>
      <c r="B615" s="21" t="n">
        <v>45901</v>
      </c>
      <c r="C615" s="20" t="inlineStr">
        <is>
          <t>C08</t>
        </is>
      </c>
      <c r="D615" s="20" t="inlineStr">
        <is>
          <t>Online Marketplace</t>
        </is>
      </c>
      <c r="E615" s="20" t="inlineStr">
        <is>
          <t>Online</t>
        </is>
      </c>
      <c r="F615" s="20" t="inlineStr">
        <is>
          <t>Nut Butter</t>
        </is>
      </c>
      <c r="G615" s="22" t="n">
        <v>1982</v>
      </c>
      <c r="H615" s="23" t="n">
        <v>56.67</v>
      </c>
      <c r="I615" s="23" t="n">
        <v>112319.94</v>
      </c>
      <c r="J615" s="23" t="n">
        <v>78289</v>
      </c>
      <c r="K615">
        <f>IF(OR(COUNTIF($A$5:A615,A615)&gt;1,G615&lt;0,C615="",B615&lt;'Work 1'!$C$6,B615&gt;'Work 1'!$C$7,H615&gt;'Work 1'!$C$8*AVERAGEIF($F$5:$F$1014,F615,$H$5:$H$1014)),"Excl",IF(B615&gt;='Work 1'!$C$5,"LTM","Prior"))</f>
        <v/>
      </c>
      <c r="L615">
        <f>I615-J615</f>
        <v/>
      </c>
    </row>
    <row r="616" ht="14.25" customHeight="1" s="54">
      <c r="A616" s="20" t="inlineStr">
        <is>
          <t>BH-40610</t>
        </is>
      </c>
      <c r="B616" s="21" t="n">
        <v>45901</v>
      </c>
      <c r="C616" s="20" t="inlineStr">
        <is>
          <t>C08</t>
        </is>
      </c>
      <c r="D616" s="20" t="inlineStr">
        <is>
          <t>Online Marketplace</t>
        </is>
      </c>
      <c r="E616" s="20" t="inlineStr">
        <is>
          <t>Online</t>
        </is>
      </c>
      <c r="F616" s="20" t="inlineStr">
        <is>
          <t>Snack Bars</t>
        </is>
      </c>
      <c r="G616" s="22" t="n">
        <v>3120</v>
      </c>
      <c r="H616" s="23" t="n">
        <v>34.58</v>
      </c>
      <c r="I616" s="23" t="n">
        <v>107889.6</v>
      </c>
      <c r="J616" s="23" t="n">
        <v>63804</v>
      </c>
      <c r="K616">
        <f>IF(OR(COUNTIF($A$5:A616,A616)&gt;1,G616&lt;0,C616="",B616&lt;'Work 1'!$C$6,B616&gt;'Work 1'!$C$7,H616&gt;'Work 1'!$C$8*AVERAGEIF($F$5:$F$1014,F616,$H$5:$H$1014)),"Excl",IF(B616&gt;='Work 1'!$C$5,"LTM","Prior"))</f>
        <v/>
      </c>
      <c r="L616">
        <f>I616-J616</f>
        <v/>
      </c>
    </row>
    <row r="617" ht="14.25" customHeight="1" s="54">
      <c r="A617" s="20" t="inlineStr">
        <is>
          <t>BH-40611</t>
        </is>
      </c>
      <c r="B617" s="21" t="n">
        <v>45901</v>
      </c>
      <c r="C617" s="20" t="inlineStr">
        <is>
          <t>C09</t>
        </is>
      </c>
      <c r="D617" s="20" t="inlineStr">
        <is>
          <t>Maple Ridge Grocers</t>
        </is>
      </c>
      <c r="E617" s="20" t="inlineStr">
        <is>
          <t>Grocery</t>
        </is>
      </c>
      <c r="F617" s="20" t="inlineStr">
        <is>
          <t>Granola</t>
        </is>
      </c>
      <c r="G617" s="22" t="n">
        <v>1583</v>
      </c>
      <c r="H617" s="23" t="n">
        <v>43.05</v>
      </c>
      <c r="I617" s="23" t="n">
        <v>68148.14999999999</v>
      </c>
      <c r="J617" s="23" t="n">
        <v>42661.85</v>
      </c>
      <c r="K617">
        <f>IF(OR(COUNTIF($A$5:A617,A617)&gt;1,G617&lt;0,C617="",B617&lt;'Work 1'!$C$6,B617&gt;'Work 1'!$C$7,H617&gt;'Work 1'!$C$8*AVERAGEIF($F$5:$F$1014,F617,$H$5:$H$1014)),"Excl",IF(B617&gt;='Work 1'!$C$5,"LTM","Prior"))</f>
        <v/>
      </c>
      <c r="L617">
        <f>I617-J617</f>
        <v/>
      </c>
    </row>
    <row r="618" ht="14.25" customHeight="1" s="54">
      <c r="A618" s="20" t="inlineStr">
        <is>
          <t>BH-40612</t>
        </is>
      </c>
      <c r="B618" s="21" t="n">
        <v>45901</v>
      </c>
      <c r="C618" s="20" t="inlineStr">
        <is>
          <t>C09</t>
        </is>
      </c>
      <c r="D618" s="20" t="inlineStr">
        <is>
          <t>Maple Ridge Grocers</t>
        </is>
      </c>
      <c r="E618" s="20" t="inlineStr">
        <is>
          <t>Grocery</t>
        </is>
      </c>
      <c r="F618" s="20" t="inlineStr">
        <is>
          <t>Snack Bars</t>
        </is>
      </c>
      <c r="G618" s="22" t="n">
        <v>1341</v>
      </c>
      <c r="H618" s="23" t="n">
        <v>33.35</v>
      </c>
      <c r="I618" s="23" t="n">
        <v>44722.35</v>
      </c>
      <c r="J618" s="23" t="n">
        <v>27423.45</v>
      </c>
      <c r="K618">
        <f>IF(OR(COUNTIF($A$5:A618,A618)&gt;1,G618&lt;0,C618="",B618&lt;'Work 1'!$C$6,B618&gt;'Work 1'!$C$7,H618&gt;'Work 1'!$C$8*AVERAGEIF($F$5:$F$1014,F618,$H$5:$H$1014)),"Excl",IF(B618&gt;='Work 1'!$C$5,"LTM","Prior"))</f>
        <v/>
      </c>
      <c r="L618">
        <f>I618-J618</f>
        <v/>
      </c>
    </row>
    <row r="619" ht="14.25" customHeight="1" s="54">
      <c r="A619" s="20" t="inlineStr">
        <is>
          <t>BH-40613</t>
        </is>
      </c>
      <c r="B619" s="21" t="n">
        <v>45901</v>
      </c>
      <c r="C619" s="20" t="inlineStr">
        <is>
          <t>C10</t>
        </is>
      </c>
      <c r="D619" s="20" t="inlineStr">
        <is>
          <t>Lakeshore Foods</t>
        </is>
      </c>
      <c r="E619" s="20" t="inlineStr">
        <is>
          <t>Grocery</t>
        </is>
      </c>
      <c r="F619" s="20" t="inlineStr">
        <is>
          <t>Granola</t>
        </is>
      </c>
      <c r="G619" s="22" t="n">
        <v>1414</v>
      </c>
      <c r="H619" s="23" t="n">
        <v>43.05</v>
      </c>
      <c r="I619" s="23" t="n">
        <v>60872.7</v>
      </c>
      <c r="J619" s="23" t="n">
        <v>38107.3</v>
      </c>
      <c r="K619">
        <f>IF(OR(COUNTIF($A$5:A619,A619)&gt;1,G619&lt;0,C619="",B619&lt;'Work 1'!$C$6,B619&gt;'Work 1'!$C$7,H619&gt;'Work 1'!$C$8*AVERAGEIF($F$5:$F$1014,F619,$H$5:$H$1014)),"Excl",IF(B619&gt;='Work 1'!$C$5,"LTM","Prior"))</f>
        <v/>
      </c>
      <c r="L619">
        <f>I619-J619</f>
        <v/>
      </c>
    </row>
    <row r="620" ht="14.25" customHeight="1" s="54">
      <c r="A620" s="20" t="inlineStr">
        <is>
          <t>BH-40614</t>
        </is>
      </c>
      <c r="B620" s="21" t="n">
        <v>45901</v>
      </c>
      <c r="C620" s="20" t="inlineStr">
        <is>
          <t>C10</t>
        </is>
      </c>
      <c r="D620" s="20" t="inlineStr">
        <is>
          <t>Lakeshore Foods</t>
        </is>
      </c>
      <c r="E620" s="20" t="inlineStr">
        <is>
          <t>Grocery</t>
        </is>
      </c>
      <c r="F620" s="20" t="inlineStr">
        <is>
          <t>Nut Butter</t>
        </is>
      </c>
      <c r="G620" s="22" t="n">
        <v>577</v>
      </c>
      <c r="H620" s="23" t="n">
        <v>57.25</v>
      </c>
      <c r="I620" s="23" t="n">
        <v>33033.25</v>
      </c>
      <c r="J620" s="23" t="n">
        <v>22791.5</v>
      </c>
      <c r="K620">
        <f>IF(OR(COUNTIF($A$5:A620,A620)&gt;1,G620&lt;0,C620="",B620&lt;'Work 1'!$C$6,B620&gt;'Work 1'!$C$7,H620&gt;'Work 1'!$C$8*AVERAGEIF($F$5:$F$1014,F620,$H$5:$H$1014)),"Excl",IF(B620&gt;='Work 1'!$C$5,"LTM","Prior"))</f>
        <v/>
      </c>
      <c r="L620">
        <f>I620-J620</f>
        <v/>
      </c>
    </row>
    <row r="621" ht="14.25" customHeight="1" s="54">
      <c r="A621" s="20" t="inlineStr">
        <is>
          <t>BH-40615</t>
        </is>
      </c>
      <c r="B621" s="21" t="n">
        <v>45901</v>
      </c>
      <c r="C621" s="20" t="inlineStr">
        <is>
          <t>C11</t>
        </is>
      </c>
      <c r="D621" s="20" t="inlineStr">
        <is>
          <t>Copper Valley Market</t>
        </is>
      </c>
      <c r="E621" s="20" t="inlineStr">
        <is>
          <t>Grocery</t>
        </is>
      </c>
      <c r="F621" s="20" t="inlineStr">
        <is>
          <t>Granola</t>
        </is>
      </c>
      <c r="G621" s="22" t="n">
        <v>1253</v>
      </c>
      <c r="H621" s="23" t="n">
        <v>43.05</v>
      </c>
      <c r="I621" s="23" t="n">
        <v>53941.65</v>
      </c>
      <c r="J621" s="23" t="n">
        <v>33768.35</v>
      </c>
      <c r="K621">
        <f>IF(OR(COUNTIF($A$5:A621,A621)&gt;1,G621&lt;0,C621="",B621&lt;'Work 1'!$C$6,B621&gt;'Work 1'!$C$7,H621&gt;'Work 1'!$C$8*AVERAGEIF($F$5:$F$1014,F621,$H$5:$H$1014)),"Excl",IF(B621&gt;='Work 1'!$C$5,"LTM","Prior"))</f>
        <v/>
      </c>
      <c r="L621">
        <f>I621-J621</f>
        <v/>
      </c>
    </row>
    <row r="622" ht="14.25" customHeight="1" s="54">
      <c r="A622" s="20" t="inlineStr">
        <is>
          <t>BH-40616</t>
        </is>
      </c>
      <c r="B622" s="21" t="n">
        <v>45901</v>
      </c>
      <c r="C622" s="20" t="inlineStr">
        <is>
          <t>C11</t>
        </is>
      </c>
      <c r="D622" s="20" t="inlineStr">
        <is>
          <t>Copper Valley Market</t>
        </is>
      </c>
      <c r="E622" s="20" t="inlineStr">
        <is>
          <t>Grocery</t>
        </is>
      </c>
      <c r="F622" s="20" t="inlineStr">
        <is>
          <t>Snack Bars</t>
        </is>
      </c>
      <c r="G622" s="22" t="n">
        <v>1343</v>
      </c>
      <c r="H622" s="23" t="n">
        <v>33.35</v>
      </c>
      <c r="I622" s="23" t="n">
        <v>44789.05</v>
      </c>
      <c r="J622" s="23" t="n">
        <v>27464.35</v>
      </c>
      <c r="K622">
        <f>IF(OR(COUNTIF($A$5:A622,A622)&gt;1,G622&lt;0,C622="",B622&lt;'Work 1'!$C$6,B622&gt;'Work 1'!$C$7,H622&gt;'Work 1'!$C$8*AVERAGEIF($F$5:$F$1014,F622,$H$5:$H$1014)),"Excl",IF(B622&gt;='Work 1'!$C$5,"LTM","Prior"))</f>
        <v/>
      </c>
      <c r="L622">
        <f>I622-J622</f>
        <v/>
      </c>
    </row>
    <row r="623" ht="14.25" customHeight="1" s="54">
      <c r="A623" s="20" t="inlineStr">
        <is>
          <t>BH-40617</t>
        </is>
      </c>
      <c r="B623" s="21" t="n">
        <v>45901</v>
      </c>
      <c r="C623" s="20" t="inlineStr">
        <is>
          <t>C12</t>
        </is>
      </c>
      <c r="D623" s="20" t="inlineStr">
        <is>
          <t>Riverbend Grocery</t>
        </is>
      </c>
      <c r="E623" s="20" t="inlineStr">
        <is>
          <t>Grocery</t>
        </is>
      </c>
      <c r="F623" s="20" t="inlineStr">
        <is>
          <t>Granola</t>
        </is>
      </c>
      <c r="G623" s="22" t="n">
        <v>1848</v>
      </c>
      <c r="H623" s="23" t="n">
        <v>43.05</v>
      </c>
      <c r="I623" s="23" t="n">
        <v>79556.39999999999</v>
      </c>
      <c r="J623" s="23" t="n">
        <v>49803.6</v>
      </c>
      <c r="K623">
        <f>IF(OR(COUNTIF($A$5:A623,A623)&gt;1,G623&lt;0,C623="",B623&lt;'Work 1'!$C$6,B623&gt;'Work 1'!$C$7,H623&gt;'Work 1'!$C$8*AVERAGEIF($F$5:$F$1014,F623,$H$5:$H$1014)),"Excl",IF(B623&gt;='Work 1'!$C$5,"LTM","Prior"))</f>
        <v/>
      </c>
      <c r="L623">
        <f>I623-J623</f>
        <v/>
      </c>
    </row>
    <row r="624" ht="14.25" customHeight="1" s="54">
      <c r="A624" s="20" t="inlineStr">
        <is>
          <t>BH-40618</t>
        </is>
      </c>
      <c r="B624" s="21" t="n">
        <v>45901</v>
      </c>
      <c r="C624" s="20" t="inlineStr">
        <is>
          <t>C12</t>
        </is>
      </c>
      <c r="D624" s="20" t="inlineStr">
        <is>
          <t>Riverbend Grocery</t>
        </is>
      </c>
      <c r="E624" s="20" t="inlineStr">
        <is>
          <t>Grocery</t>
        </is>
      </c>
      <c r="F624" s="20" t="inlineStr">
        <is>
          <t>Nut Butter</t>
        </is>
      </c>
      <c r="G624" s="22" t="n">
        <v>766</v>
      </c>
      <c r="H624" s="23" t="n">
        <v>57.25</v>
      </c>
      <c r="I624" s="23" t="n">
        <v>43853.5</v>
      </c>
      <c r="J624" s="23" t="n">
        <v>30257</v>
      </c>
      <c r="K624">
        <f>IF(OR(COUNTIF($A$5:A624,A624)&gt;1,G624&lt;0,C624="",B624&lt;'Work 1'!$C$6,B624&gt;'Work 1'!$C$7,H624&gt;'Work 1'!$C$8*AVERAGEIF($F$5:$F$1014,F624,$H$5:$H$1014)),"Excl",IF(B624&gt;='Work 1'!$C$5,"LTM","Prior"))</f>
        <v/>
      </c>
      <c r="L624">
        <f>I624-J624</f>
        <v/>
      </c>
    </row>
    <row r="625" ht="14.25" customHeight="1" s="54">
      <c r="A625" s="20" t="inlineStr">
        <is>
          <t>BH-40619</t>
        </is>
      </c>
      <c r="B625" s="21" t="n">
        <v>45901</v>
      </c>
      <c r="C625" s="20" t="inlineStr">
        <is>
          <t>C13</t>
        </is>
      </c>
      <c r="D625" s="20" t="inlineStr">
        <is>
          <t>Sunfield Markets</t>
        </is>
      </c>
      <c r="E625" s="20" t="inlineStr">
        <is>
          <t>Grocery</t>
        </is>
      </c>
      <c r="F625" s="20" t="inlineStr">
        <is>
          <t>Granola</t>
        </is>
      </c>
      <c r="G625" s="22" t="n">
        <v>1036</v>
      </c>
      <c r="H625" s="23" t="n">
        <v>43.05</v>
      </c>
      <c r="I625" s="23" t="n">
        <v>44599.8</v>
      </c>
      <c r="J625" s="23" t="n">
        <v>27920.2</v>
      </c>
      <c r="K625">
        <f>IF(OR(COUNTIF($A$5:A625,A625)&gt;1,G625&lt;0,C625="",B625&lt;'Work 1'!$C$6,B625&gt;'Work 1'!$C$7,H625&gt;'Work 1'!$C$8*AVERAGEIF($F$5:$F$1014,F625,$H$5:$H$1014)),"Excl",IF(B625&gt;='Work 1'!$C$5,"LTM","Prior"))</f>
        <v/>
      </c>
      <c r="L625">
        <f>I625-J625</f>
        <v/>
      </c>
    </row>
    <row r="626" ht="14.25" customHeight="1" s="54">
      <c r="A626" s="20" t="inlineStr">
        <is>
          <t>BH-40620</t>
        </is>
      </c>
      <c r="B626" s="21" t="n">
        <v>45901</v>
      </c>
      <c r="C626" s="20" t="inlineStr">
        <is>
          <t>C13</t>
        </is>
      </c>
      <c r="D626" s="20" t="inlineStr">
        <is>
          <t>Sunfield Markets</t>
        </is>
      </c>
      <c r="E626" s="20" t="inlineStr">
        <is>
          <t>Grocery</t>
        </is>
      </c>
      <c r="F626" s="20" t="inlineStr">
        <is>
          <t>Snack Bars</t>
        </is>
      </c>
      <c r="G626" s="22" t="n">
        <v>1114</v>
      </c>
      <c r="H626" s="23" t="n">
        <v>33.35</v>
      </c>
      <c r="I626" s="23" t="n">
        <v>37151.9</v>
      </c>
      <c r="J626" s="23" t="n">
        <v>22781.3</v>
      </c>
      <c r="K626">
        <f>IF(OR(COUNTIF($A$5:A626,A626)&gt;1,G626&lt;0,C626="",B626&lt;'Work 1'!$C$6,B626&gt;'Work 1'!$C$7,H626&gt;'Work 1'!$C$8*AVERAGEIF($F$5:$F$1014,F626,$H$5:$H$1014)),"Excl",IF(B626&gt;='Work 1'!$C$5,"LTM","Prior"))</f>
        <v/>
      </c>
      <c r="L626">
        <f>I626-J626</f>
        <v/>
      </c>
    </row>
    <row r="627" ht="14.25" customHeight="1" s="54">
      <c r="A627" s="20" t="inlineStr">
        <is>
          <t>BH-40621</t>
        </is>
      </c>
      <c r="B627" s="21" t="n">
        <v>45901</v>
      </c>
      <c r="C627" s="20" t="inlineStr">
        <is>
          <t>C14</t>
        </is>
      </c>
      <c r="D627" s="20" t="inlineStr">
        <is>
          <t>Oak Hollow Foods</t>
        </is>
      </c>
      <c r="E627" s="20" t="inlineStr">
        <is>
          <t>Grocery</t>
        </is>
      </c>
      <c r="F627" s="20" t="inlineStr">
        <is>
          <t>Granola</t>
        </is>
      </c>
      <c r="G627" s="22" t="n">
        <v>1156</v>
      </c>
      <c r="H627" s="23" t="n">
        <v>43.05</v>
      </c>
      <c r="I627" s="23" t="n">
        <v>49765.8</v>
      </c>
      <c r="J627" s="23" t="n">
        <v>31154.2</v>
      </c>
      <c r="K627">
        <f>IF(OR(COUNTIF($A$5:A627,A627)&gt;1,G627&lt;0,C627="",B627&lt;'Work 1'!$C$6,B627&gt;'Work 1'!$C$7,H627&gt;'Work 1'!$C$8*AVERAGEIF($F$5:$F$1014,F627,$H$5:$H$1014)),"Excl",IF(B627&gt;='Work 1'!$C$5,"LTM","Prior"))</f>
        <v/>
      </c>
      <c r="L627">
        <f>I627-J627</f>
        <v/>
      </c>
    </row>
    <row r="628" ht="14.25" customHeight="1" s="54">
      <c r="A628" s="20" t="inlineStr">
        <is>
          <t>BH-40622</t>
        </is>
      </c>
      <c r="B628" s="21" t="n">
        <v>45901</v>
      </c>
      <c r="C628" s="20" t="inlineStr">
        <is>
          <t>C14</t>
        </is>
      </c>
      <c r="D628" s="20" t="inlineStr">
        <is>
          <t>Oak Hollow Foods</t>
        </is>
      </c>
      <c r="E628" s="20" t="inlineStr">
        <is>
          <t>Grocery</t>
        </is>
      </c>
      <c r="F628" s="20" t="inlineStr">
        <is>
          <t>Nut Butter</t>
        </is>
      </c>
      <c r="G628" s="22" t="n">
        <v>454</v>
      </c>
      <c r="H628" s="23" t="n">
        <v>57.25</v>
      </c>
      <c r="I628" s="23" t="n">
        <v>25991.5</v>
      </c>
      <c r="J628" s="23" t="n">
        <v>17933</v>
      </c>
      <c r="K628">
        <f>IF(OR(COUNTIF($A$5:A628,A628)&gt;1,G628&lt;0,C628="",B628&lt;'Work 1'!$C$6,B628&gt;'Work 1'!$C$7,H628&gt;'Work 1'!$C$8*AVERAGEIF($F$5:$F$1014,F628,$H$5:$H$1014)),"Excl",IF(B628&gt;='Work 1'!$C$5,"LTM","Prior"))</f>
        <v/>
      </c>
      <c r="L628">
        <f>I628-J628</f>
        <v/>
      </c>
    </row>
    <row r="629" ht="14.25" customHeight="1" s="54">
      <c r="A629" s="20" t="inlineStr">
        <is>
          <t>BH-40623</t>
        </is>
      </c>
      <c r="B629" s="21" t="n">
        <v>45901</v>
      </c>
      <c r="C629" s="20" t="inlineStr">
        <is>
          <t>C14</t>
        </is>
      </c>
      <c r="D629" s="20" t="inlineStr">
        <is>
          <t>Oak Hollow Foods</t>
        </is>
      </c>
      <c r="E629" s="20" t="inlineStr">
        <is>
          <t>Grocery</t>
        </is>
      </c>
      <c r="F629" s="20" t="inlineStr">
        <is>
          <t>Snack Bars</t>
        </is>
      </c>
      <c r="G629" s="22" t="n">
        <v>781</v>
      </c>
      <c r="H629" s="23" t="n">
        <v>33.35</v>
      </c>
      <c r="I629" s="23" t="n">
        <v>26046.35</v>
      </c>
      <c r="J629" s="23" t="n">
        <v>15971.45</v>
      </c>
      <c r="K629">
        <f>IF(OR(COUNTIF($A$5:A629,A629)&gt;1,G629&lt;0,C629="",B629&lt;'Work 1'!$C$6,B629&gt;'Work 1'!$C$7,H629&gt;'Work 1'!$C$8*AVERAGEIF($F$5:$F$1014,F629,$H$5:$H$1014)),"Excl",IF(B629&gt;='Work 1'!$C$5,"LTM","Prior"))</f>
        <v/>
      </c>
      <c r="L629">
        <f>I629-J629</f>
        <v/>
      </c>
    </row>
    <row r="630" ht="14.25" customHeight="1" s="54">
      <c r="A630" s="20" t="inlineStr">
        <is>
          <t>BH-40624</t>
        </is>
      </c>
      <c r="B630" s="21" t="n">
        <v>45901</v>
      </c>
      <c r="C630" s="20" t="inlineStr">
        <is>
          <t>C15</t>
        </is>
      </c>
      <c r="D630" s="20" t="inlineStr">
        <is>
          <t>Prairie Fresh</t>
        </is>
      </c>
      <c r="E630" s="20" t="inlineStr">
        <is>
          <t>Grocery</t>
        </is>
      </c>
      <c r="F630" s="20" t="inlineStr">
        <is>
          <t>Granola</t>
        </is>
      </c>
      <c r="G630" s="22" t="n">
        <v>1448</v>
      </c>
      <c r="H630" s="23" t="n">
        <v>43.05</v>
      </c>
      <c r="I630" s="23" t="n">
        <v>62336.4</v>
      </c>
      <c r="J630" s="23" t="n">
        <v>39023.6</v>
      </c>
      <c r="K630">
        <f>IF(OR(COUNTIF($A$5:A630,A630)&gt;1,G630&lt;0,C630="",B630&lt;'Work 1'!$C$6,B630&gt;'Work 1'!$C$7,H630&gt;'Work 1'!$C$8*AVERAGEIF($F$5:$F$1014,F630,$H$5:$H$1014)),"Excl",IF(B630&gt;='Work 1'!$C$5,"LTM","Prior"))</f>
        <v/>
      </c>
      <c r="L630">
        <f>I630-J630</f>
        <v/>
      </c>
    </row>
    <row r="631" ht="14.25" customHeight="1" s="54">
      <c r="A631" s="20" t="inlineStr">
        <is>
          <t>BH-40625</t>
        </is>
      </c>
      <c r="B631" s="21" t="n">
        <v>45901</v>
      </c>
      <c r="C631" s="20" t="inlineStr">
        <is>
          <t>C15</t>
        </is>
      </c>
      <c r="D631" s="20" t="inlineStr">
        <is>
          <t>Prairie Fresh</t>
        </is>
      </c>
      <c r="E631" s="20" t="inlineStr">
        <is>
          <t>Grocery</t>
        </is>
      </c>
      <c r="F631" s="20" t="inlineStr">
        <is>
          <t>Snack Bars</t>
        </is>
      </c>
      <c r="G631" s="22" t="n">
        <v>1047</v>
      </c>
      <c r="H631" s="23" t="n">
        <v>33.35</v>
      </c>
      <c r="I631" s="23" t="n">
        <v>34917.45</v>
      </c>
      <c r="J631" s="23" t="n">
        <v>21411.15</v>
      </c>
      <c r="K631">
        <f>IF(OR(COUNTIF($A$5:A631,A631)&gt;1,G631&lt;0,C631="",B631&lt;'Work 1'!$C$6,B631&gt;'Work 1'!$C$7,H631&gt;'Work 1'!$C$8*AVERAGEIF($F$5:$F$1014,F631,$H$5:$H$1014)),"Excl",IF(B631&gt;='Work 1'!$C$5,"LTM","Prior"))</f>
        <v/>
      </c>
      <c r="L631">
        <f>I631-J631</f>
        <v/>
      </c>
    </row>
    <row r="632" ht="14.25" customHeight="1" s="54">
      <c r="A632" s="20" t="inlineStr">
        <is>
          <t>BH-40626</t>
        </is>
      </c>
      <c r="B632" s="21" t="n">
        <v>45901</v>
      </c>
      <c r="C632" s="20" t="inlineStr">
        <is>
          <t>C16</t>
        </is>
      </c>
      <c r="D632" s="20" t="inlineStr">
        <is>
          <t>Bay Street Market</t>
        </is>
      </c>
      <c r="E632" s="20" t="inlineStr">
        <is>
          <t>Grocery</t>
        </is>
      </c>
      <c r="F632" s="20" t="inlineStr">
        <is>
          <t>Granola</t>
        </is>
      </c>
      <c r="G632" s="22" t="n">
        <v>1001</v>
      </c>
      <c r="H632" s="23" t="n">
        <v>43.05</v>
      </c>
      <c r="I632" s="23" t="n">
        <v>43093.05</v>
      </c>
      <c r="J632" s="23" t="n">
        <v>26976.95</v>
      </c>
      <c r="K632">
        <f>IF(OR(COUNTIF($A$5:A632,A632)&gt;1,G632&lt;0,C632="",B632&lt;'Work 1'!$C$6,B632&gt;'Work 1'!$C$7,H632&gt;'Work 1'!$C$8*AVERAGEIF($F$5:$F$1014,F632,$H$5:$H$1014)),"Excl",IF(B632&gt;='Work 1'!$C$5,"LTM","Prior"))</f>
        <v/>
      </c>
      <c r="L632">
        <f>I632-J632</f>
        <v/>
      </c>
    </row>
    <row r="633" ht="14.25" customHeight="1" s="54">
      <c r="A633" s="20" t="inlineStr">
        <is>
          <t>BH-40627</t>
        </is>
      </c>
      <c r="B633" s="21" t="n">
        <v>45901</v>
      </c>
      <c r="C633" s="20" t="inlineStr">
        <is>
          <t>C16</t>
        </is>
      </c>
      <c r="D633" s="20" t="inlineStr">
        <is>
          <t>Bay Street Market</t>
        </is>
      </c>
      <c r="E633" s="20" t="inlineStr">
        <is>
          <t>Grocery</t>
        </is>
      </c>
      <c r="F633" s="20" t="inlineStr">
        <is>
          <t>Nut Butter</t>
        </is>
      </c>
      <c r="G633" s="22" t="n">
        <v>640</v>
      </c>
      <c r="H633" s="23" t="n">
        <v>57.25</v>
      </c>
      <c r="I633" s="23" t="n">
        <v>36640</v>
      </c>
      <c r="J633" s="23" t="n">
        <v>25280</v>
      </c>
      <c r="K633">
        <f>IF(OR(COUNTIF($A$5:A633,A633)&gt;1,G633&lt;0,C633="",B633&lt;'Work 1'!$C$6,B633&gt;'Work 1'!$C$7,H633&gt;'Work 1'!$C$8*AVERAGEIF($F$5:$F$1014,F633,$H$5:$H$1014)),"Excl",IF(B633&gt;='Work 1'!$C$5,"LTM","Prior"))</f>
        <v/>
      </c>
      <c r="L633">
        <f>I633-J633</f>
        <v/>
      </c>
    </row>
    <row r="634" ht="14.25" customHeight="1" s="54">
      <c r="A634" s="20" t="inlineStr">
        <is>
          <t>BH-40628</t>
        </is>
      </c>
      <c r="B634" s="21" t="n">
        <v>45931</v>
      </c>
      <c r="C634" s="20" t="inlineStr">
        <is>
          <t>C01</t>
        </is>
      </c>
      <c r="D634" s="20" t="inlineStr">
        <is>
          <t>Northfield Markets</t>
        </is>
      </c>
      <c r="E634" s="20" t="inlineStr">
        <is>
          <t>Grocery</t>
        </is>
      </c>
      <c r="F634" s="20" t="inlineStr">
        <is>
          <t>Granola</t>
        </is>
      </c>
      <c r="G634" s="22" t="n">
        <v>15702</v>
      </c>
      <c r="H634" s="23" t="n">
        <v>39.61</v>
      </c>
      <c r="I634" s="23" t="n">
        <v>621956.22</v>
      </c>
      <c r="J634" s="23" t="n">
        <v>423168.9</v>
      </c>
      <c r="K634">
        <f>IF(OR(COUNTIF($A$5:A634,A634)&gt;1,G634&lt;0,C634="",B634&lt;'Work 1'!$C$6,B634&gt;'Work 1'!$C$7,H634&gt;'Work 1'!$C$8*AVERAGEIF($F$5:$F$1014,F634,$H$5:$H$1014)),"Excl",IF(B634&gt;='Work 1'!$C$5,"LTM","Prior"))</f>
        <v/>
      </c>
      <c r="L634">
        <f>I634-J634</f>
        <v/>
      </c>
    </row>
    <row r="635" ht="14.25" customHeight="1" s="54">
      <c r="A635" s="20" t="inlineStr">
        <is>
          <t>BH-40629</t>
        </is>
      </c>
      <c r="B635" s="21" t="n">
        <v>45931</v>
      </c>
      <c r="C635" s="20" t="inlineStr">
        <is>
          <t>C01</t>
        </is>
      </c>
      <c r="D635" s="20" t="inlineStr">
        <is>
          <t>Northfield Markets</t>
        </is>
      </c>
      <c r="E635" s="20" t="inlineStr">
        <is>
          <t>Grocery</t>
        </is>
      </c>
      <c r="F635" s="20" t="inlineStr">
        <is>
          <t>Nut Butter</t>
        </is>
      </c>
      <c r="G635" s="22" t="n">
        <v>7950</v>
      </c>
      <c r="H635" s="23" t="n">
        <v>52.67</v>
      </c>
      <c r="I635" s="23" t="n">
        <v>418726.5</v>
      </c>
      <c r="J635" s="23" t="n">
        <v>314025</v>
      </c>
      <c r="K635">
        <f>IF(OR(COUNTIF($A$5:A635,A635)&gt;1,G635&lt;0,C635="",B635&lt;'Work 1'!$C$6,B635&gt;'Work 1'!$C$7,H635&gt;'Work 1'!$C$8*AVERAGEIF($F$5:$F$1014,F635,$H$5:$H$1014)),"Excl",IF(B635&gt;='Work 1'!$C$5,"LTM","Prior"))</f>
        <v/>
      </c>
      <c r="L635">
        <f>I635-J635</f>
        <v/>
      </c>
    </row>
    <row r="636" ht="14.25" customHeight="1" s="54">
      <c r="A636" s="20" t="inlineStr">
        <is>
          <t>BH-40630</t>
        </is>
      </c>
      <c r="B636" s="21" t="n">
        <v>45931</v>
      </c>
      <c r="C636" s="20" t="inlineStr">
        <is>
          <t>C01</t>
        </is>
      </c>
      <c r="D636" s="20" t="inlineStr">
        <is>
          <t>Northfield Markets</t>
        </is>
      </c>
      <c r="E636" s="20" t="inlineStr">
        <is>
          <t>Grocery</t>
        </is>
      </c>
      <c r="F636" s="20" t="inlineStr">
        <is>
          <t>Snack Bars</t>
        </is>
      </c>
      <c r="G636" s="22" t="n">
        <v>11863</v>
      </c>
      <c r="H636" s="23" t="n">
        <v>30.68</v>
      </c>
      <c r="I636" s="23" t="n">
        <v>363956.84</v>
      </c>
      <c r="J636" s="23" t="n">
        <v>242598.35</v>
      </c>
      <c r="K636">
        <f>IF(OR(COUNTIF($A$5:A636,A636)&gt;1,G636&lt;0,C636="",B636&lt;'Work 1'!$C$6,B636&gt;'Work 1'!$C$7,H636&gt;'Work 1'!$C$8*AVERAGEIF($F$5:$F$1014,F636,$H$5:$H$1014)),"Excl",IF(B636&gt;='Work 1'!$C$5,"LTM","Prior"))</f>
        <v/>
      </c>
      <c r="L636">
        <f>I636-J636</f>
        <v/>
      </c>
    </row>
    <row r="637" ht="14.25" customHeight="1" s="54">
      <c r="A637" s="20" t="inlineStr">
        <is>
          <t>BH-40631</t>
        </is>
      </c>
      <c r="B637" s="21" t="n">
        <v>45931</v>
      </c>
      <c r="C637" s="20" t="inlineStr">
        <is>
          <t>C02</t>
        </is>
      </c>
      <c r="D637" s="20" t="inlineStr">
        <is>
          <t>Crestline Grocers</t>
        </is>
      </c>
      <c r="E637" s="20" t="inlineStr">
        <is>
          <t>Grocery</t>
        </is>
      </c>
      <c r="F637" s="20" t="inlineStr">
        <is>
          <t>Granola</t>
        </is>
      </c>
      <c r="G637" s="22" t="n">
        <v>4263</v>
      </c>
      <c r="H637" s="23" t="n">
        <v>41.76</v>
      </c>
      <c r="I637" s="23" t="n">
        <v>178022.88</v>
      </c>
      <c r="J637" s="23" t="n">
        <v>114887.85</v>
      </c>
      <c r="K637">
        <f>IF(OR(COUNTIF($A$5:A637,A637)&gt;1,G637&lt;0,C637="",B637&lt;'Work 1'!$C$6,B637&gt;'Work 1'!$C$7,H637&gt;'Work 1'!$C$8*AVERAGEIF($F$5:$F$1014,F637,$H$5:$H$1014)),"Excl",IF(B637&gt;='Work 1'!$C$5,"LTM","Prior"))</f>
        <v/>
      </c>
      <c r="L637">
        <f>I637-J637</f>
        <v/>
      </c>
    </row>
    <row r="638" ht="14.25" customHeight="1" s="54">
      <c r="A638" s="20" t="inlineStr">
        <is>
          <t>BH-40632</t>
        </is>
      </c>
      <c r="B638" s="21" t="n">
        <v>45931</v>
      </c>
      <c r="C638" s="20" t="inlineStr">
        <is>
          <t>C02</t>
        </is>
      </c>
      <c r="D638" s="20" t="inlineStr">
        <is>
          <t>Crestline Grocers</t>
        </is>
      </c>
      <c r="E638" s="20" t="inlineStr">
        <is>
          <t>Grocery</t>
        </is>
      </c>
      <c r="F638" s="20" t="inlineStr">
        <is>
          <t>Nut Butter</t>
        </is>
      </c>
      <c r="G638" s="22" t="n">
        <v>2227</v>
      </c>
      <c r="H638" s="23" t="n">
        <v>55.53</v>
      </c>
      <c r="I638" s="23" t="n">
        <v>123665.31</v>
      </c>
      <c r="J638" s="23" t="n">
        <v>87966.5</v>
      </c>
      <c r="K638">
        <f>IF(OR(COUNTIF($A$5:A638,A638)&gt;1,G638&lt;0,C638="",B638&lt;'Work 1'!$C$6,B638&gt;'Work 1'!$C$7,H638&gt;'Work 1'!$C$8*AVERAGEIF($F$5:$F$1014,F638,$H$5:$H$1014)),"Excl",IF(B638&gt;='Work 1'!$C$5,"LTM","Prior"))</f>
        <v/>
      </c>
      <c r="L638">
        <f>I638-J638</f>
        <v/>
      </c>
    </row>
    <row r="639" ht="14.25" customHeight="1" s="54">
      <c r="A639" s="20" t="inlineStr">
        <is>
          <t>BH-40633</t>
        </is>
      </c>
      <c r="B639" s="21" t="n">
        <v>45931</v>
      </c>
      <c r="C639" s="20" t="inlineStr">
        <is>
          <t>C02</t>
        </is>
      </c>
      <c r="D639" s="20" t="inlineStr">
        <is>
          <t>Crestline Grocers</t>
        </is>
      </c>
      <c r="E639" s="20" t="inlineStr">
        <is>
          <t>Grocery</t>
        </is>
      </c>
      <c r="F639" s="20" t="inlineStr">
        <is>
          <t>Snack Bars</t>
        </is>
      </c>
      <c r="G639" s="22" t="n">
        <v>3612</v>
      </c>
      <c r="H639" s="23" t="n">
        <v>32.35</v>
      </c>
      <c r="I639" s="23" t="n">
        <v>116848.2</v>
      </c>
      <c r="J639" s="23" t="n">
        <v>73865.39999999999</v>
      </c>
      <c r="K639">
        <f>IF(OR(COUNTIF($A$5:A639,A639)&gt;1,G639&lt;0,C639="",B639&lt;'Work 1'!$C$6,B639&gt;'Work 1'!$C$7,H639&gt;'Work 1'!$C$8*AVERAGEIF($F$5:$F$1014,F639,$H$5:$H$1014)),"Excl",IF(B639&gt;='Work 1'!$C$5,"LTM","Prior"))</f>
        <v/>
      </c>
      <c r="L639">
        <f>I639-J639</f>
        <v/>
      </c>
    </row>
    <row r="640" ht="14.25" customHeight="1" s="54">
      <c r="A640" s="20" t="inlineStr">
        <is>
          <t>BH-40634</t>
        </is>
      </c>
      <c r="B640" s="21" t="n">
        <v>45931</v>
      </c>
      <c r="C640" s="20" t="inlineStr">
        <is>
          <t>C03</t>
        </is>
      </c>
      <c r="D640" s="20" t="inlineStr">
        <is>
          <t>ValuClub Warehouse</t>
        </is>
      </c>
      <c r="E640" s="20" t="inlineStr">
        <is>
          <t>Club</t>
        </is>
      </c>
      <c r="F640" s="20" t="inlineStr">
        <is>
          <t>Granola</t>
        </is>
      </c>
      <c r="G640" s="22" t="n">
        <v>13445</v>
      </c>
      <c r="H640" s="23" t="n">
        <v>36.6</v>
      </c>
      <c r="I640" s="23" t="n">
        <v>492087</v>
      </c>
      <c r="J640" s="23" t="n">
        <v>362342.75</v>
      </c>
      <c r="K640">
        <f>IF(OR(COUNTIF($A$5:A640,A640)&gt;1,G640&lt;0,C640="",B640&lt;'Work 1'!$C$6,B640&gt;'Work 1'!$C$7,H640&gt;'Work 1'!$C$8*AVERAGEIF($F$5:$F$1014,F640,$H$5:$H$1014)),"Excl",IF(B640&gt;='Work 1'!$C$5,"LTM","Prior"))</f>
        <v/>
      </c>
      <c r="L640">
        <f>I640-J640</f>
        <v/>
      </c>
    </row>
    <row r="641" ht="14.25" customHeight="1" s="54">
      <c r="A641" s="20" t="inlineStr">
        <is>
          <t>BH-40635</t>
        </is>
      </c>
      <c r="B641" s="21" t="n">
        <v>45931</v>
      </c>
      <c r="C641" s="20" t="inlineStr">
        <is>
          <t>C03</t>
        </is>
      </c>
      <c r="D641" s="20" t="inlineStr">
        <is>
          <t>ValuClub Warehouse</t>
        </is>
      </c>
      <c r="E641" s="20" t="inlineStr">
        <is>
          <t>Club</t>
        </is>
      </c>
      <c r="F641" s="20" t="inlineStr">
        <is>
          <t>Snack Bars</t>
        </is>
      </c>
      <c r="G641" s="22" t="n">
        <v>14385</v>
      </c>
      <c r="H641" s="23" t="n">
        <v>25.35</v>
      </c>
      <c r="I641" s="23" t="n">
        <v>364659.75</v>
      </c>
      <c r="J641" s="23" t="n">
        <v>294173.25</v>
      </c>
      <c r="K641">
        <f>IF(OR(COUNTIF($A$5:A641,A641)&gt;1,G641&lt;0,C641="",B641&lt;'Work 1'!$C$6,B641&gt;'Work 1'!$C$7,H641&gt;'Work 1'!$C$8*AVERAGEIF($F$5:$F$1014,F641,$H$5:$H$1014)),"Excl",IF(B641&gt;='Work 1'!$C$5,"LTM","Prior"))</f>
        <v/>
      </c>
      <c r="L641">
        <f>I641-J641</f>
        <v/>
      </c>
    </row>
    <row r="642" ht="14.25" customHeight="1" s="54">
      <c r="A642" s="20" t="inlineStr">
        <is>
          <t>BH-40636</t>
        </is>
      </c>
      <c r="B642" s="21" t="n">
        <v>45931</v>
      </c>
      <c r="C642" s="20" t="inlineStr">
        <is>
          <t>C04</t>
        </is>
      </c>
      <c r="D642" s="20" t="inlineStr">
        <is>
          <t>Harvest Lane Co-op</t>
        </is>
      </c>
      <c r="E642" s="20" t="inlineStr">
        <is>
          <t>Grocery</t>
        </is>
      </c>
      <c r="F642" s="20" t="inlineStr">
        <is>
          <t>Granola</t>
        </is>
      </c>
      <c r="G642" s="22" t="n">
        <v>2965</v>
      </c>
      <c r="H642" s="23" t="n">
        <v>43.05</v>
      </c>
      <c r="I642" s="23" t="n">
        <v>127643.25</v>
      </c>
      <c r="J642" s="23" t="n">
        <v>79906.75</v>
      </c>
      <c r="K642">
        <f>IF(OR(COUNTIF($A$5:A642,A642)&gt;1,G642&lt;0,C642="",B642&lt;'Work 1'!$C$6,B642&gt;'Work 1'!$C$7,H642&gt;'Work 1'!$C$8*AVERAGEIF($F$5:$F$1014,F642,$H$5:$H$1014)),"Excl",IF(B642&gt;='Work 1'!$C$5,"LTM","Prior"))</f>
        <v/>
      </c>
      <c r="L642">
        <f>I642-J642</f>
        <v/>
      </c>
    </row>
    <row r="643" ht="14.25" customHeight="1" s="54">
      <c r="A643" s="20" t="inlineStr">
        <is>
          <t>BH-40637</t>
        </is>
      </c>
      <c r="B643" s="21" t="n">
        <v>45931</v>
      </c>
      <c r="C643" s="20" t="inlineStr">
        <is>
          <t>C04</t>
        </is>
      </c>
      <c r="D643" s="20" t="inlineStr">
        <is>
          <t>Harvest Lane Co-op</t>
        </is>
      </c>
      <c r="E643" s="20" t="inlineStr">
        <is>
          <t>Grocery</t>
        </is>
      </c>
      <c r="F643" s="20" t="inlineStr">
        <is>
          <t>Nut Butter</t>
        </is>
      </c>
      <c r="G643" s="22" t="n">
        <v>1640</v>
      </c>
      <c r="H643" s="23" t="n">
        <v>57.25</v>
      </c>
      <c r="I643" s="23" t="n">
        <v>93890</v>
      </c>
      <c r="J643" s="23" t="n">
        <v>64780</v>
      </c>
      <c r="K643">
        <f>IF(OR(COUNTIF($A$5:A643,A643)&gt;1,G643&lt;0,C643="",B643&lt;'Work 1'!$C$6,B643&gt;'Work 1'!$C$7,H643&gt;'Work 1'!$C$8*AVERAGEIF($F$5:$F$1014,F643,$H$5:$H$1014)),"Excl",IF(B643&gt;='Work 1'!$C$5,"LTM","Prior"))</f>
        <v/>
      </c>
      <c r="L643">
        <f>I643-J643</f>
        <v/>
      </c>
    </row>
    <row r="644" ht="14.25" customHeight="1" s="54">
      <c r="A644" s="20" t="inlineStr">
        <is>
          <t>BH-40638</t>
        </is>
      </c>
      <c r="B644" s="21" t="n">
        <v>45931</v>
      </c>
      <c r="C644" s="20" t="inlineStr">
        <is>
          <t>C04</t>
        </is>
      </c>
      <c r="D644" s="20" t="inlineStr">
        <is>
          <t>Harvest Lane Co-op</t>
        </is>
      </c>
      <c r="E644" s="20" t="inlineStr">
        <is>
          <t>Grocery</t>
        </is>
      </c>
      <c r="F644" s="20" t="inlineStr">
        <is>
          <t>Snack Bars</t>
        </is>
      </c>
      <c r="G644" s="22" t="n">
        <v>2001</v>
      </c>
      <c r="H644" s="23" t="n">
        <v>33.35</v>
      </c>
      <c r="I644" s="23" t="n">
        <v>66733.35000000001</v>
      </c>
      <c r="J644" s="23" t="n">
        <v>40920.45</v>
      </c>
      <c r="K644">
        <f>IF(OR(COUNTIF($A$5:A644,A644)&gt;1,G644&lt;0,C644="",B644&lt;'Work 1'!$C$6,B644&gt;'Work 1'!$C$7,H644&gt;'Work 1'!$C$8*AVERAGEIF($F$5:$F$1014,F644,$H$5:$H$1014)),"Excl",IF(B644&gt;='Work 1'!$C$5,"LTM","Prior"))</f>
        <v/>
      </c>
      <c r="L644">
        <f>I644-J644</f>
        <v/>
      </c>
    </row>
    <row r="645" ht="14.25" customHeight="1" s="54">
      <c r="A645" s="20" t="inlineStr">
        <is>
          <t>BH-40639</t>
        </is>
      </c>
      <c r="B645" s="21" t="n">
        <v>45931</v>
      </c>
      <c r="C645" s="20" t="inlineStr">
        <is>
          <t>C05</t>
        </is>
      </c>
      <c r="D645" s="20" t="inlineStr">
        <is>
          <t>Pioneer Foods Distribution</t>
        </is>
      </c>
      <c r="E645" s="20" t="inlineStr">
        <is>
          <t>Grocery</t>
        </is>
      </c>
      <c r="F645" s="20" t="inlineStr">
        <is>
          <t>Granola</t>
        </is>
      </c>
      <c r="G645" s="22" t="n">
        <v>3539</v>
      </c>
      <c r="H645" s="23" t="n">
        <v>38.74</v>
      </c>
      <c r="I645" s="23" t="n">
        <v>137100.86</v>
      </c>
      <c r="J645" s="23" t="n">
        <v>95376.05</v>
      </c>
      <c r="K645">
        <f>IF(OR(COUNTIF($A$5:A645,A645)&gt;1,G645&lt;0,C645="",B645&lt;'Work 1'!$C$6,B645&gt;'Work 1'!$C$7,H645&gt;'Work 1'!$C$8*AVERAGEIF($F$5:$F$1014,F645,$H$5:$H$1014)),"Excl",IF(B645&gt;='Work 1'!$C$5,"LTM","Prior"))</f>
        <v/>
      </c>
      <c r="L645">
        <f>I645-J645</f>
        <v/>
      </c>
    </row>
    <row r="646" ht="14.25" customHeight="1" s="54">
      <c r="A646" s="20" t="inlineStr">
        <is>
          <t>BH-40640</t>
        </is>
      </c>
      <c r="B646" s="21" t="n">
        <v>45931</v>
      </c>
      <c r="C646" s="20" t="inlineStr">
        <is>
          <t>C05</t>
        </is>
      </c>
      <c r="D646" s="20" t="inlineStr">
        <is>
          <t>Pioneer Foods Distribution</t>
        </is>
      </c>
      <c r="E646" s="20" t="inlineStr">
        <is>
          <t>Grocery</t>
        </is>
      </c>
      <c r="F646" s="20" t="inlineStr">
        <is>
          <t>Nut Butter</t>
        </is>
      </c>
      <c r="G646" s="22" t="n">
        <v>2046</v>
      </c>
      <c r="H646" s="23" t="n">
        <v>51.52</v>
      </c>
      <c r="I646" s="23" t="n">
        <v>105409.92</v>
      </c>
      <c r="J646" s="23" t="n">
        <v>80817</v>
      </c>
      <c r="K646">
        <f>IF(OR(COUNTIF($A$5:A646,A646)&gt;1,G646&lt;0,C646="",B646&lt;'Work 1'!$C$6,B646&gt;'Work 1'!$C$7,H646&gt;'Work 1'!$C$8*AVERAGEIF($F$5:$F$1014,F646,$H$5:$H$1014)),"Excl",IF(B646&gt;='Work 1'!$C$5,"LTM","Prior"))</f>
        <v/>
      </c>
      <c r="L646">
        <f>I646-J646</f>
        <v/>
      </c>
    </row>
    <row r="647" ht="14.25" customHeight="1" s="54">
      <c r="A647" s="20" t="inlineStr">
        <is>
          <t>BH-40641</t>
        </is>
      </c>
      <c r="B647" s="21" t="n">
        <v>45931</v>
      </c>
      <c r="C647" s="20" t="inlineStr">
        <is>
          <t>C05</t>
        </is>
      </c>
      <c r="D647" s="20" t="inlineStr">
        <is>
          <t>Pioneer Foods Distribution</t>
        </is>
      </c>
      <c r="E647" s="20" t="inlineStr">
        <is>
          <t>Grocery</t>
        </is>
      </c>
      <c r="F647" s="20" t="inlineStr">
        <is>
          <t>Snack Bars</t>
        </is>
      </c>
      <c r="G647" s="22" t="n">
        <v>3144</v>
      </c>
      <c r="H647" s="23" t="n">
        <v>30.02</v>
      </c>
      <c r="I647" s="23" t="n">
        <v>94382.88</v>
      </c>
      <c r="J647" s="23" t="n">
        <v>64294.8</v>
      </c>
      <c r="K647">
        <f>IF(OR(COUNTIF($A$5:A647,A647)&gt;1,G647&lt;0,C647="",B647&lt;'Work 1'!$C$6,B647&gt;'Work 1'!$C$7,H647&gt;'Work 1'!$C$8*AVERAGEIF($F$5:$F$1014,F647,$H$5:$H$1014)),"Excl",IF(B647&gt;='Work 1'!$C$5,"LTM","Prior"))</f>
        <v/>
      </c>
      <c r="L647">
        <f>I647-J647</f>
        <v/>
      </c>
    </row>
    <row r="648" ht="14.25" customHeight="1" s="54">
      <c r="A648" s="20" t="inlineStr">
        <is>
          <t>BH-40642</t>
        </is>
      </c>
      <c r="B648" s="21" t="n">
        <v>45931</v>
      </c>
      <c r="C648" s="20" t="inlineStr">
        <is>
          <t>C06</t>
        </is>
      </c>
      <c r="D648" s="20" t="inlineStr">
        <is>
          <t>Summit Club Stores</t>
        </is>
      </c>
      <c r="E648" s="20" t="inlineStr">
        <is>
          <t>Club</t>
        </is>
      </c>
      <c r="F648" s="20" t="inlineStr">
        <is>
          <t>Granola</t>
        </is>
      </c>
      <c r="G648" s="22" t="n">
        <v>5361</v>
      </c>
      <c r="H648" s="23" t="n">
        <v>36.6</v>
      </c>
      <c r="I648" s="23" t="n">
        <v>196212.6</v>
      </c>
      <c r="J648" s="23" t="n">
        <v>144478.95</v>
      </c>
      <c r="K648">
        <f>IF(OR(COUNTIF($A$5:A648,A648)&gt;1,G648&lt;0,C648="",B648&lt;'Work 1'!$C$6,B648&gt;'Work 1'!$C$7,H648&gt;'Work 1'!$C$8*AVERAGEIF($F$5:$F$1014,F648,$H$5:$H$1014)),"Excl",IF(B648&gt;='Work 1'!$C$5,"LTM","Prior"))</f>
        <v/>
      </c>
      <c r="L648">
        <f>I648-J648</f>
        <v/>
      </c>
    </row>
    <row r="649" ht="14.25" customHeight="1" s="54">
      <c r="A649" s="20" t="inlineStr">
        <is>
          <t>BH-40643</t>
        </is>
      </c>
      <c r="B649" s="21" t="n">
        <v>45931</v>
      </c>
      <c r="C649" s="20" t="inlineStr">
        <is>
          <t>C06</t>
        </is>
      </c>
      <c r="D649" s="20" t="inlineStr">
        <is>
          <t>Summit Club Stores</t>
        </is>
      </c>
      <c r="E649" s="20" t="inlineStr">
        <is>
          <t>Club</t>
        </is>
      </c>
      <c r="F649" s="20" t="inlineStr">
        <is>
          <t>Nut Butter</t>
        </is>
      </c>
      <c r="G649" s="22" t="n">
        <v>2907</v>
      </c>
      <c r="H649" s="23" t="n">
        <v>48.75</v>
      </c>
      <c r="I649" s="23" t="n">
        <v>141716.25</v>
      </c>
      <c r="J649" s="23" t="n">
        <v>114826.5</v>
      </c>
      <c r="K649">
        <f>IF(OR(COUNTIF($A$5:A649,A649)&gt;1,G649&lt;0,C649="",B649&lt;'Work 1'!$C$6,B649&gt;'Work 1'!$C$7,H649&gt;'Work 1'!$C$8*AVERAGEIF($F$5:$F$1014,F649,$H$5:$H$1014)),"Excl",IF(B649&gt;='Work 1'!$C$5,"LTM","Prior"))</f>
        <v/>
      </c>
      <c r="L649">
        <f>I649-J649</f>
        <v/>
      </c>
    </row>
    <row r="650" ht="14.25" customHeight="1" s="54">
      <c r="A650" s="20" t="inlineStr">
        <is>
          <t>BH-40644</t>
        </is>
      </c>
      <c r="B650" s="21" t="n">
        <v>45931</v>
      </c>
      <c r="C650" s="20" t="inlineStr">
        <is>
          <t>C07</t>
        </is>
      </c>
      <c r="D650" s="20" t="inlineStr">
        <is>
          <t>Bramble Hill Online Store</t>
        </is>
      </c>
      <c r="E650" s="20" t="inlineStr">
        <is>
          <t>Online</t>
        </is>
      </c>
      <c r="F650" s="20" t="inlineStr">
        <is>
          <t>Granola</t>
        </is>
      </c>
      <c r="G650" s="22" t="n">
        <v>3585</v>
      </c>
      <c r="H650" s="23" t="n">
        <v>49.4</v>
      </c>
      <c r="I650" s="23" t="n">
        <v>177099</v>
      </c>
      <c r="J650" s="23" t="n">
        <v>96615.75</v>
      </c>
      <c r="K650">
        <f>IF(OR(COUNTIF($A$5:A650,A650)&gt;1,G650&lt;0,C650="",B650&lt;'Work 1'!$C$6,B650&gt;'Work 1'!$C$7,H650&gt;'Work 1'!$C$8*AVERAGEIF($F$5:$F$1014,F650,$H$5:$H$1014)),"Excl",IF(B650&gt;='Work 1'!$C$5,"LTM","Prior"))</f>
        <v/>
      </c>
      <c r="L650">
        <f>I650-J650</f>
        <v/>
      </c>
    </row>
    <row r="651" ht="14.25" customHeight="1" s="54">
      <c r="A651" s="20" t="inlineStr">
        <is>
          <t>BH-40645</t>
        </is>
      </c>
      <c r="B651" s="21" t="n">
        <v>45931</v>
      </c>
      <c r="C651" s="20" t="inlineStr">
        <is>
          <t>C07</t>
        </is>
      </c>
      <c r="D651" s="20" t="inlineStr">
        <is>
          <t>Bramble Hill Online Store</t>
        </is>
      </c>
      <c r="E651" s="20" t="inlineStr">
        <is>
          <t>Online</t>
        </is>
      </c>
      <c r="F651" s="20" t="inlineStr">
        <is>
          <t>Nut Butter</t>
        </is>
      </c>
      <c r="G651" s="22" t="n">
        <v>2146</v>
      </c>
      <c r="H651" s="23" t="n">
        <v>64.40000000000001</v>
      </c>
      <c r="I651" s="23" t="n">
        <v>138202.4</v>
      </c>
      <c r="J651" s="23" t="n">
        <v>84767</v>
      </c>
      <c r="K651">
        <f>IF(OR(COUNTIF($A$5:A651,A651)&gt;1,G651&lt;0,C651="",B651&lt;'Work 1'!$C$6,B651&gt;'Work 1'!$C$7,H651&gt;'Work 1'!$C$8*AVERAGEIF($F$5:$F$1014,F651,$H$5:$H$1014)),"Excl",IF(B651&gt;='Work 1'!$C$5,"LTM","Prior"))</f>
        <v/>
      </c>
      <c r="L651">
        <f>I651-J651</f>
        <v/>
      </c>
    </row>
    <row r="652" ht="14.25" customHeight="1" s="54">
      <c r="A652" s="20" t="inlineStr">
        <is>
          <t>BH-40646</t>
        </is>
      </c>
      <c r="B652" s="21" t="n">
        <v>45931</v>
      </c>
      <c r="C652" s="20" t="inlineStr">
        <is>
          <t>C07</t>
        </is>
      </c>
      <c r="D652" s="20" t="inlineStr">
        <is>
          <t>Bramble Hill Online Store</t>
        </is>
      </c>
      <c r="E652" s="20" t="inlineStr">
        <is>
          <t>Online</t>
        </is>
      </c>
      <c r="F652" s="20" t="inlineStr">
        <is>
          <t>Snack Bars</t>
        </is>
      </c>
      <c r="G652" s="22" t="n">
        <v>2730</v>
      </c>
      <c r="H652" s="23" t="n">
        <v>39.3</v>
      </c>
      <c r="I652" s="23" t="n">
        <v>107289</v>
      </c>
      <c r="J652" s="23" t="n">
        <v>55828.5</v>
      </c>
      <c r="K652">
        <f>IF(OR(COUNTIF($A$5:A652,A652)&gt;1,G652&lt;0,C652="",B652&lt;'Work 1'!$C$6,B652&gt;'Work 1'!$C$7,H652&gt;'Work 1'!$C$8*AVERAGEIF($F$5:$F$1014,F652,$H$5:$H$1014)),"Excl",IF(B652&gt;='Work 1'!$C$5,"LTM","Prior"))</f>
        <v/>
      </c>
      <c r="L652">
        <f>I652-J652</f>
        <v/>
      </c>
    </row>
    <row r="653" ht="14.25" customHeight="1" s="54">
      <c r="A653" s="20" t="inlineStr">
        <is>
          <t>BH-40647</t>
        </is>
      </c>
      <c r="B653" s="21" t="n">
        <v>45931</v>
      </c>
      <c r="C653" s="20" t="inlineStr">
        <is>
          <t>C08</t>
        </is>
      </c>
      <c r="D653" s="20" t="inlineStr">
        <is>
          <t>Online Marketplace</t>
        </is>
      </c>
      <c r="E653" s="20" t="inlineStr">
        <is>
          <t>Online</t>
        </is>
      </c>
      <c r="F653" s="20" t="inlineStr">
        <is>
          <t>Granola</t>
        </is>
      </c>
      <c r="G653" s="22" t="n">
        <v>3735</v>
      </c>
      <c r="H653" s="23" t="n">
        <v>43.47</v>
      </c>
      <c r="I653" s="23" t="n">
        <v>162360.45</v>
      </c>
      <c r="J653" s="23" t="n">
        <v>100658.25</v>
      </c>
      <c r="K653">
        <f>IF(OR(COUNTIF($A$5:A653,A653)&gt;1,G653&lt;0,C653="",B653&lt;'Work 1'!$C$6,B653&gt;'Work 1'!$C$7,H653&gt;'Work 1'!$C$8*AVERAGEIF($F$5:$F$1014,F653,$H$5:$H$1014)),"Excl",IF(B653&gt;='Work 1'!$C$5,"LTM","Prior"))</f>
        <v/>
      </c>
      <c r="L653">
        <f>I653-J653</f>
        <v/>
      </c>
    </row>
    <row r="654" ht="14.25" customHeight="1" s="54">
      <c r="A654" s="20" t="inlineStr">
        <is>
          <t>BH-40648</t>
        </is>
      </c>
      <c r="B654" s="21" t="n">
        <v>45931</v>
      </c>
      <c r="C654" s="20" t="inlineStr">
        <is>
          <t>C08</t>
        </is>
      </c>
      <c r="D654" s="20" t="inlineStr">
        <is>
          <t>Online Marketplace</t>
        </is>
      </c>
      <c r="E654" s="20" t="inlineStr">
        <is>
          <t>Online</t>
        </is>
      </c>
      <c r="F654" s="20" t="inlineStr">
        <is>
          <t>Nut Butter</t>
        </is>
      </c>
      <c r="G654" s="22" t="n">
        <v>2033</v>
      </c>
      <c r="H654" s="23" t="n">
        <v>56.67</v>
      </c>
      <c r="I654" s="23" t="n">
        <v>115210.11</v>
      </c>
      <c r="J654" s="23" t="n">
        <v>80303.5</v>
      </c>
      <c r="K654">
        <f>IF(OR(COUNTIF($A$5:A654,A654)&gt;1,G654&lt;0,C654="",B654&lt;'Work 1'!$C$6,B654&gt;'Work 1'!$C$7,H654&gt;'Work 1'!$C$8*AVERAGEIF($F$5:$F$1014,F654,$H$5:$H$1014)),"Excl",IF(B654&gt;='Work 1'!$C$5,"LTM","Prior"))</f>
        <v/>
      </c>
      <c r="L654">
        <f>I654-J654</f>
        <v/>
      </c>
    </row>
    <row r="655" ht="14.25" customHeight="1" s="54">
      <c r="A655" s="20" t="inlineStr">
        <is>
          <t>BH-40649</t>
        </is>
      </c>
      <c r="B655" s="21" t="n">
        <v>45931</v>
      </c>
      <c r="C655" s="20" t="inlineStr">
        <is>
          <t>C08</t>
        </is>
      </c>
      <c r="D655" s="20" t="inlineStr">
        <is>
          <t>Online Marketplace</t>
        </is>
      </c>
      <c r="E655" s="20" t="inlineStr">
        <is>
          <t>Online</t>
        </is>
      </c>
      <c r="F655" s="20" t="inlineStr">
        <is>
          <t>Snack Bars</t>
        </is>
      </c>
      <c r="G655" s="22" t="n">
        <v>3303</v>
      </c>
      <c r="H655" s="23" t="n">
        <v>34.58</v>
      </c>
      <c r="I655" s="23" t="n">
        <v>114217.74</v>
      </c>
      <c r="J655" s="23" t="n">
        <v>67546.35000000001</v>
      </c>
      <c r="K655">
        <f>IF(OR(COUNTIF($A$5:A655,A655)&gt;1,G655&lt;0,C655="",B655&lt;'Work 1'!$C$6,B655&gt;'Work 1'!$C$7,H655&gt;'Work 1'!$C$8*AVERAGEIF($F$5:$F$1014,F655,$H$5:$H$1014)),"Excl",IF(B655&gt;='Work 1'!$C$5,"LTM","Prior"))</f>
        <v/>
      </c>
      <c r="L655">
        <f>I655-J655</f>
        <v/>
      </c>
    </row>
    <row r="656" ht="14.25" customHeight="1" s="54">
      <c r="A656" s="20" t="inlineStr">
        <is>
          <t>BH-40650</t>
        </is>
      </c>
      <c r="B656" s="21" t="n">
        <v>45931</v>
      </c>
      <c r="C656" s="20" t="inlineStr">
        <is>
          <t>C09</t>
        </is>
      </c>
      <c r="D656" s="20" t="inlineStr">
        <is>
          <t>Maple Ridge Grocers</t>
        </is>
      </c>
      <c r="E656" s="20" t="inlineStr">
        <is>
          <t>Grocery</t>
        </is>
      </c>
      <c r="F656" s="20" t="inlineStr">
        <is>
          <t>Granola</t>
        </is>
      </c>
      <c r="G656" s="22" t="n">
        <v>1697</v>
      </c>
      <c r="H656" s="23" t="n">
        <v>43.05</v>
      </c>
      <c r="I656" s="23" t="n">
        <v>73055.85000000001</v>
      </c>
      <c r="J656" s="23" t="n">
        <v>45734.15</v>
      </c>
      <c r="K656">
        <f>IF(OR(COUNTIF($A$5:A656,A656)&gt;1,G656&lt;0,C656="",B656&lt;'Work 1'!$C$6,B656&gt;'Work 1'!$C$7,H656&gt;'Work 1'!$C$8*AVERAGEIF($F$5:$F$1014,F656,$H$5:$H$1014)),"Excl",IF(B656&gt;='Work 1'!$C$5,"LTM","Prior"))</f>
        <v/>
      </c>
      <c r="L656">
        <f>I656-J656</f>
        <v/>
      </c>
    </row>
    <row r="657" ht="14.25" customHeight="1" s="54">
      <c r="A657" s="20" t="inlineStr">
        <is>
          <t>BH-40651</t>
        </is>
      </c>
      <c r="B657" s="21" t="n">
        <v>45931</v>
      </c>
      <c r="C657" s="20" t="inlineStr">
        <is>
          <t>C09</t>
        </is>
      </c>
      <c r="D657" s="20" t="inlineStr">
        <is>
          <t>Maple Ridge Grocers</t>
        </is>
      </c>
      <c r="E657" s="20" t="inlineStr">
        <is>
          <t>Grocery</t>
        </is>
      </c>
      <c r="F657" s="20" t="inlineStr">
        <is>
          <t>Snack Bars</t>
        </is>
      </c>
      <c r="G657" s="22" t="n">
        <v>1420</v>
      </c>
      <c r="H657" s="23" t="n">
        <v>33.35</v>
      </c>
      <c r="I657" s="23" t="n">
        <v>47357</v>
      </c>
      <c r="J657" s="23" t="n">
        <v>29039</v>
      </c>
      <c r="K657">
        <f>IF(OR(COUNTIF($A$5:A657,A657)&gt;1,G657&lt;0,C657="",B657&lt;'Work 1'!$C$6,B657&gt;'Work 1'!$C$7,H657&gt;'Work 1'!$C$8*AVERAGEIF($F$5:$F$1014,F657,$H$5:$H$1014)),"Excl",IF(B657&gt;='Work 1'!$C$5,"LTM","Prior"))</f>
        <v/>
      </c>
      <c r="L657">
        <f>I657-J657</f>
        <v/>
      </c>
    </row>
    <row r="658" ht="14.25" customHeight="1" s="54">
      <c r="A658" s="20" t="inlineStr">
        <is>
          <t>BH-40652</t>
        </is>
      </c>
      <c r="B658" s="21" t="n">
        <v>45931</v>
      </c>
      <c r="C658" s="20" t="inlineStr">
        <is>
          <t>C10</t>
        </is>
      </c>
      <c r="D658" s="20" t="inlineStr">
        <is>
          <t>Lakeshore Foods</t>
        </is>
      </c>
      <c r="E658" s="20" t="inlineStr">
        <is>
          <t>Grocery</t>
        </is>
      </c>
      <c r="F658" s="20" t="inlineStr">
        <is>
          <t>Granola</t>
        </is>
      </c>
      <c r="G658" s="22" t="n">
        <v>1387</v>
      </c>
      <c r="H658" s="23" t="n">
        <v>43.05</v>
      </c>
      <c r="I658" s="23" t="n">
        <v>59710.35</v>
      </c>
      <c r="J658" s="23" t="n">
        <v>37379.65</v>
      </c>
      <c r="K658">
        <f>IF(OR(COUNTIF($A$5:A658,A658)&gt;1,G658&lt;0,C658="",B658&lt;'Work 1'!$C$6,B658&gt;'Work 1'!$C$7,H658&gt;'Work 1'!$C$8*AVERAGEIF($F$5:$F$1014,F658,$H$5:$H$1014)),"Excl",IF(B658&gt;='Work 1'!$C$5,"LTM","Prior"))</f>
        <v/>
      </c>
      <c r="L658">
        <f>I658-J658</f>
        <v/>
      </c>
    </row>
    <row r="659" ht="14.25" customHeight="1" s="54">
      <c r="A659" s="20" t="inlineStr">
        <is>
          <t>BH-40653</t>
        </is>
      </c>
      <c r="B659" s="21" t="n">
        <v>45931</v>
      </c>
      <c r="C659" s="20" t="inlineStr">
        <is>
          <t>C10</t>
        </is>
      </c>
      <c r="D659" s="20" t="inlineStr">
        <is>
          <t>Lakeshore Foods</t>
        </is>
      </c>
      <c r="E659" s="20" t="inlineStr">
        <is>
          <t>Grocery</t>
        </is>
      </c>
      <c r="F659" s="20" t="inlineStr">
        <is>
          <t>Nut Butter</t>
        </is>
      </c>
      <c r="G659" s="22" t="n">
        <v>609</v>
      </c>
      <c r="H659" s="23" t="n">
        <v>57.25</v>
      </c>
      <c r="I659" s="23" t="n">
        <v>34865.25</v>
      </c>
      <c r="J659" s="23" t="n">
        <v>24055.5</v>
      </c>
      <c r="K659">
        <f>IF(OR(COUNTIF($A$5:A659,A659)&gt;1,G659&lt;0,C659="",B659&lt;'Work 1'!$C$6,B659&gt;'Work 1'!$C$7,H659&gt;'Work 1'!$C$8*AVERAGEIF($F$5:$F$1014,F659,$H$5:$H$1014)),"Excl",IF(B659&gt;='Work 1'!$C$5,"LTM","Prior"))</f>
        <v/>
      </c>
      <c r="L659">
        <f>I659-J659</f>
        <v/>
      </c>
    </row>
    <row r="660" ht="14.25" customHeight="1" s="54">
      <c r="A660" s="20" t="inlineStr">
        <is>
          <t>BH-40654</t>
        </is>
      </c>
      <c r="B660" s="21" t="n">
        <v>45931</v>
      </c>
      <c r="C660" s="20" t="inlineStr">
        <is>
          <t>C11</t>
        </is>
      </c>
      <c r="D660" s="20" t="inlineStr">
        <is>
          <t>Copper Valley Market</t>
        </is>
      </c>
      <c r="E660" s="20" t="inlineStr">
        <is>
          <t>Grocery</t>
        </is>
      </c>
      <c r="F660" s="20" t="inlineStr">
        <is>
          <t>Granola</t>
        </is>
      </c>
      <c r="G660" s="22" t="n">
        <v>1338</v>
      </c>
      <c r="H660" s="23" t="n">
        <v>43.05</v>
      </c>
      <c r="I660" s="23" t="n">
        <v>57600.9</v>
      </c>
      <c r="J660" s="23" t="n">
        <v>36059.1</v>
      </c>
      <c r="K660">
        <f>IF(OR(COUNTIF($A$5:A660,A660)&gt;1,G660&lt;0,C660="",B660&lt;'Work 1'!$C$6,B660&gt;'Work 1'!$C$7,H660&gt;'Work 1'!$C$8*AVERAGEIF($F$5:$F$1014,F660,$H$5:$H$1014)),"Excl",IF(B660&gt;='Work 1'!$C$5,"LTM","Prior"))</f>
        <v/>
      </c>
      <c r="L660">
        <f>I660-J660</f>
        <v/>
      </c>
    </row>
    <row r="661" ht="14.25" customHeight="1" s="54">
      <c r="A661" s="20" t="inlineStr">
        <is>
          <t>BH-40655</t>
        </is>
      </c>
      <c r="B661" s="21" t="n">
        <v>45931</v>
      </c>
      <c r="C661" s="20" t="inlineStr">
        <is>
          <t>C11</t>
        </is>
      </c>
      <c r="D661" s="20" t="inlineStr">
        <is>
          <t>Copper Valley Market</t>
        </is>
      </c>
      <c r="E661" s="20" t="inlineStr">
        <is>
          <t>Grocery</t>
        </is>
      </c>
      <c r="F661" s="20" t="inlineStr">
        <is>
          <t>Snack Bars</t>
        </is>
      </c>
      <c r="G661" s="22" t="n">
        <v>1355</v>
      </c>
      <c r="H661" s="23" t="n">
        <v>33.35</v>
      </c>
      <c r="I661" s="23" t="n">
        <v>45189.25</v>
      </c>
      <c r="J661" s="23" t="n">
        <v>27709.75</v>
      </c>
      <c r="K661">
        <f>IF(OR(COUNTIF($A$5:A661,A661)&gt;1,G661&lt;0,C661="",B661&lt;'Work 1'!$C$6,B661&gt;'Work 1'!$C$7,H661&gt;'Work 1'!$C$8*AVERAGEIF($F$5:$F$1014,F661,$H$5:$H$1014)),"Excl",IF(B661&gt;='Work 1'!$C$5,"LTM","Prior"))</f>
        <v/>
      </c>
      <c r="L661">
        <f>I661-J661</f>
        <v/>
      </c>
    </row>
    <row r="662" ht="14.25" customHeight="1" s="54">
      <c r="A662" s="20" t="inlineStr">
        <is>
          <t>BH-40656</t>
        </is>
      </c>
      <c r="B662" s="21" t="n">
        <v>45931</v>
      </c>
      <c r="C662" s="20" t="inlineStr">
        <is>
          <t>C12</t>
        </is>
      </c>
      <c r="D662" s="20" t="inlineStr">
        <is>
          <t>Riverbend Grocery</t>
        </is>
      </c>
      <c r="E662" s="20" t="inlineStr">
        <is>
          <t>Grocery</t>
        </is>
      </c>
      <c r="F662" s="20" t="inlineStr">
        <is>
          <t>Granola</t>
        </is>
      </c>
      <c r="G662" s="22" t="n">
        <v>1902</v>
      </c>
      <c r="H662" s="23" t="n">
        <v>43.05</v>
      </c>
      <c r="I662" s="23" t="n">
        <v>81881.10000000001</v>
      </c>
      <c r="J662" s="23" t="n">
        <v>51258.9</v>
      </c>
      <c r="K662">
        <f>IF(OR(COUNTIF($A$5:A662,A662)&gt;1,G662&lt;0,C662="",B662&lt;'Work 1'!$C$6,B662&gt;'Work 1'!$C$7,H662&gt;'Work 1'!$C$8*AVERAGEIF($F$5:$F$1014,F662,$H$5:$H$1014)),"Excl",IF(B662&gt;='Work 1'!$C$5,"LTM","Prior"))</f>
        <v/>
      </c>
      <c r="L662">
        <f>I662-J662</f>
        <v/>
      </c>
    </row>
    <row r="663" ht="14.25" customHeight="1" s="54">
      <c r="A663" s="20" t="inlineStr">
        <is>
          <t>BH-40657</t>
        </is>
      </c>
      <c r="B663" s="21" t="n">
        <v>45931</v>
      </c>
      <c r="C663" s="20" t="inlineStr">
        <is>
          <t>C12</t>
        </is>
      </c>
      <c r="D663" s="20" t="inlineStr">
        <is>
          <t>Riverbend Grocery</t>
        </is>
      </c>
      <c r="E663" s="20" t="inlineStr">
        <is>
          <t>Grocery</t>
        </is>
      </c>
      <c r="F663" s="20" t="inlineStr">
        <is>
          <t>Nut Butter</t>
        </is>
      </c>
      <c r="G663" s="22" t="n">
        <v>792</v>
      </c>
      <c r="H663" s="23" t="n">
        <v>57.25</v>
      </c>
      <c r="I663" s="23" t="n">
        <v>45342</v>
      </c>
      <c r="J663" s="23" t="n">
        <v>31284</v>
      </c>
      <c r="K663">
        <f>IF(OR(COUNTIF($A$5:A663,A663)&gt;1,G663&lt;0,C663="",B663&lt;'Work 1'!$C$6,B663&gt;'Work 1'!$C$7,H663&gt;'Work 1'!$C$8*AVERAGEIF($F$5:$F$1014,F663,$H$5:$H$1014)),"Excl",IF(B663&gt;='Work 1'!$C$5,"LTM","Prior"))</f>
        <v/>
      </c>
      <c r="L663">
        <f>I663-J663</f>
        <v/>
      </c>
    </row>
    <row r="664" ht="14.25" customHeight="1" s="54">
      <c r="A664" s="20" t="inlineStr">
        <is>
          <t>BH-40658</t>
        </is>
      </c>
      <c r="B664" s="21" t="n">
        <v>45931</v>
      </c>
      <c r="C664" s="20" t="inlineStr">
        <is>
          <t>C13</t>
        </is>
      </c>
      <c r="D664" s="20" t="inlineStr">
        <is>
          <t>Sunfield Markets</t>
        </is>
      </c>
      <c r="E664" s="20" t="inlineStr">
        <is>
          <t>Grocery</t>
        </is>
      </c>
      <c r="F664" s="20" t="inlineStr">
        <is>
          <t>Granola</t>
        </is>
      </c>
      <c r="G664" s="22" t="n">
        <v>1062</v>
      </c>
      <c r="H664" s="23" t="n">
        <v>43.05</v>
      </c>
      <c r="I664" s="23" t="n">
        <v>45719.1</v>
      </c>
      <c r="J664" s="23" t="n">
        <v>28620.9</v>
      </c>
      <c r="K664">
        <f>IF(OR(COUNTIF($A$5:A664,A664)&gt;1,G664&lt;0,C664="",B664&lt;'Work 1'!$C$6,B664&gt;'Work 1'!$C$7,H664&gt;'Work 1'!$C$8*AVERAGEIF($F$5:$F$1014,F664,$H$5:$H$1014)),"Excl",IF(B664&gt;='Work 1'!$C$5,"LTM","Prior"))</f>
        <v/>
      </c>
      <c r="L664">
        <f>I664-J664</f>
        <v/>
      </c>
    </row>
    <row r="665" ht="14.25" customHeight="1" s="54">
      <c r="A665" s="20" t="inlineStr">
        <is>
          <t>BH-40659</t>
        </is>
      </c>
      <c r="B665" s="21" t="n">
        <v>45931</v>
      </c>
      <c r="C665" s="20" t="inlineStr">
        <is>
          <t>C13</t>
        </is>
      </c>
      <c r="D665" s="20" t="inlineStr">
        <is>
          <t>Sunfield Markets</t>
        </is>
      </c>
      <c r="E665" s="20" t="inlineStr">
        <is>
          <t>Grocery</t>
        </is>
      </c>
      <c r="F665" s="20" t="inlineStr">
        <is>
          <t>Snack Bars</t>
        </is>
      </c>
      <c r="G665" s="22" t="n">
        <v>1160</v>
      </c>
      <c r="H665" s="23" t="n">
        <v>33.35</v>
      </c>
      <c r="I665" s="23" t="n">
        <v>38686</v>
      </c>
      <c r="J665" s="23" t="n">
        <v>23722</v>
      </c>
      <c r="K665">
        <f>IF(OR(COUNTIF($A$5:A665,A665)&gt;1,G665&lt;0,C665="",B665&lt;'Work 1'!$C$6,B665&gt;'Work 1'!$C$7,H665&gt;'Work 1'!$C$8*AVERAGEIF($F$5:$F$1014,F665,$H$5:$H$1014)),"Excl",IF(B665&gt;='Work 1'!$C$5,"LTM","Prior"))</f>
        <v/>
      </c>
      <c r="L665">
        <f>I665-J665</f>
        <v/>
      </c>
    </row>
    <row r="666" ht="14.25" customHeight="1" s="54">
      <c r="A666" s="20" t="inlineStr">
        <is>
          <t>BH-40660</t>
        </is>
      </c>
      <c r="B666" s="21" t="n">
        <v>45931</v>
      </c>
      <c r="C666" s="20" t="inlineStr">
        <is>
          <t>C14</t>
        </is>
      </c>
      <c r="D666" s="20" t="inlineStr">
        <is>
          <t>Oak Hollow Foods</t>
        </is>
      </c>
      <c r="E666" s="20" t="inlineStr">
        <is>
          <t>Grocery</t>
        </is>
      </c>
      <c r="F666" s="20" t="inlineStr">
        <is>
          <t>Granola</t>
        </is>
      </c>
      <c r="G666" s="22" t="n">
        <v>1175</v>
      </c>
      <c r="H666" s="23" t="n">
        <v>43.05</v>
      </c>
      <c r="I666" s="23" t="n">
        <v>50583.75</v>
      </c>
      <c r="J666" s="23" t="n">
        <v>31666.25</v>
      </c>
      <c r="K666">
        <f>IF(OR(COUNTIF($A$5:A666,A666)&gt;1,G666&lt;0,C666="",B666&lt;'Work 1'!$C$6,B666&gt;'Work 1'!$C$7,H666&gt;'Work 1'!$C$8*AVERAGEIF($F$5:$F$1014,F666,$H$5:$H$1014)),"Excl",IF(B666&gt;='Work 1'!$C$5,"LTM","Prior"))</f>
        <v/>
      </c>
      <c r="L666">
        <f>I666-J666</f>
        <v/>
      </c>
    </row>
    <row r="667" ht="14.25" customHeight="1" s="54">
      <c r="A667" s="20" t="inlineStr">
        <is>
          <t>BH-40661</t>
        </is>
      </c>
      <c r="B667" s="21" t="n">
        <v>45931</v>
      </c>
      <c r="C667" s="20" t="inlineStr">
        <is>
          <t>C14</t>
        </is>
      </c>
      <c r="D667" s="20" t="inlineStr">
        <is>
          <t>Oak Hollow Foods</t>
        </is>
      </c>
      <c r="E667" s="20" t="inlineStr">
        <is>
          <t>Grocery</t>
        </is>
      </c>
      <c r="F667" s="20" t="inlineStr">
        <is>
          <t>Nut Butter</t>
        </is>
      </c>
      <c r="G667" s="22" t="n">
        <v>453</v>
      </c>
      <c r="H667" s="23" t="n">
        <v>57.25</v>
      </c>
      <c r="I667" s="23" t="n">
        <v>25934.25</v>
      </c>
      <c r="J667" s="23" t="n">
        <v>17893.5</v>
      </c>
      <c r="K667">
        <f>IF(OR(COUNTIF($A$5:A667,A667)&gt;1,G667&lt;0,C667="",B667&lt;'Work 1'!$C$6,B667&gt;'Work 1'!$C$7,H667&gt;'Work 1'!$C$8*AVERAGEIF($F$5:$F$1014,F667,$H$5:$H$1014)),"Excl",IF(B667&gt;='Work 1'!$C$5,"LTM","Prior"))</f>
        <v/>
      </c>
      <c r="L667">
        <f>I667-J667</f>
        <v/>
      </c>
    </row>
    <row r="668" ht="14.25" customHeight="1" s="54">
      <c r="A668" s="20" t="inlineStr">
        <is>
          <t>BH-40662</t>
        </is>
      </c>
      <c r="B668" s="21" t="n">
        <v>45931</v>
      </c>
      <c r="C668" s="20" t="inlineStr">
        <is>
          <t>C14</t>
        </is>
      </c>
      <c r="D668" s="20" t="inlineStr">
        <is>
          <t>Oak Hollow Foods</t>
        </is>
      </c>
      <c r="E668" s="20" t="inlineStr">
        <is>
          <t>Grocery</t>
        </is>
      </c>
      <c r="F668" s="20" t="inlineStr">
        <is>
          <t>Snack Bars</t>
        </is>
      </c>
      <c r="G668" s="22" t="n">
        <v>782</v>
      </c>
      <c r="H668" s="23" t="n">
        <v>33.35</v>
      </c>
      <c r="I668" s="23" t="n">
        <v>26079.7</v>
      </c>
      <c r="J668" s="23" t="n">
        <v>15991.9</v>
      </c>
      <c r="K668">
        <f>IF(OR(COUNTIF($A$5:A668,A668)&gt;1,G668&lt;0,C668="",B668&lt;'Work 1'!$C$6,B668&gt;'Work 1'!$C$7,H668&gt;'Work 1'!$C$8*AVERAGEIF($F$5:$F$1014,F668,$H$5:$H$1014)),"Excl",IF(B668&gt;='Work 1'!$C$5,"LTM","Prior"))</f>
        <v/>
      </c>
      <c r="L668">
        <f>I668-J668</f>
        <v/>
      </c>
    </row>
    <row r="669" ht="14.25" customHeight="1" s="54">
      <c r="A669" s="20" t="inlineStr">
        <is>
          <t>BH-40663</t>
        </is>
      </c>
      <c r="B669" s="21" t="n">
        <v>45931</v>
      </c>
      <c r="C669" s="20" t="inlineStr">
        <is>
          <t>C15</t>
        </is>
      </c>
      <c r="D669" s="20" t="inlineStr">
        <is>
          <t>Prairie Fresh</t>
        </is>
      </c>
      <c r="E669" s="20" t="inlineStr">
        <is>
          <t>Grocery</t>
        </is>
      </c>
      <c r="F669" s="20" t="inlineStr">
        <is>
          <t>Granola</t>
        </is>
      </c>
      <c r="G669" s="22" t="n">
        <v>1541</v>
      </c>
      <c r="H669" s="23" t="n">
        <v>43.05</v>
      </c>
      <c r="I669" s="23" t="n">
        <v>66340.05</v>
      </c>
      <c r="J669" s="23" t="n">
        <v>41529.95</v>
      </c>
      <c r="K669">
        <f>IF(OR(COUNTIF($A$5:A669,A669)&gt;1,G669&lt;0,C669="",B669&lt;'Work 1'!$C$6,B669&gt;'Work 1'!$C$7,H669&gt;'Work 1'!$C$8*AVERAGEIF($F$5:$F$1014,F669,$H$5:$H$1014)),"Excl",IF(B669&gt;='Work 1'!$C$5,"LTM","Prior"))</f>
        <v/>
      </c>
      <c r="L669">
        <f>I669-J669</f>
        <v/>
      </c>
    </row>
    <row r="670" ht="14.25" customHeight="1" s="54">
      <c r="A670" s="20" t="inlineStr">
        <is>
          <t>BH-40664</t>
        </is>
      </c>
      <c r="B670" s="21" t="n">
        <v>45931</v>
      </c>
      <c r="C670" s="20" t="inlineStr">
        <is>
          <t>C15</t>
        </is>
      </c>
      <c r="D670" s="20" t="inlineStr">
        <is>
          <t>Prairie Fresh</t>
        </is>
      </c>
      <c r="E670" s="20" t="inlineStr">
        <is>
          <t>Grocery</t>
        </is>
      </c>
      <c r="F670" s="20" t="inlineStr">
        <is>
          <t>Snack Bars</t>
        </is>
      </c>
      <c r="G670" s="22" t="n">
        <v>1063</v>
      </c>
      <c r="H670" s="23" t="n">
        <v>33.35</v>
      </c>
      <c r="I670" s="23" t="n">
        <v>35451.05</v>
      </c>
      <c r="J670" s="23" t="n">
        <v>21738.35</v>
      </c>
      <c r="K670">
        <f>IF(OR(COUNTIF($A$5:A670,A670)&gt;1,G670&lt;0,C670="",B670&lt;'Work 1'!$C$6,B670&gt;'Work 1'!$C$7,H670&gt;'Work 1'!$C$8*AVERAGEIF($F$5:$F$1014,F670,$H$5:$H$1014)),"Excl",IF(B670&gt;='Work 1'!$C$5,"LTM","Prior"))</f>
        <v/>
      </c>
      <c r="L670">
        <f>I670-J670</f>
        <v/>
      </c>
    </row>
    <row r="671" ht="14.25" customHeight="1" s="54">
      <c r="A671" s="20" t="inlineStr">
        <is>
          <t>BH-40665</t>
        </is>
      </c>
      <c r="B671" s="21" t="n">
        <v>45931</v>
      </c>
      <c r="C671" s="20" t="inlineStr">
        <is>
          <t>C16</t>
        </is>
      </c>
      <c r="D671" s="20" t="inlineStr">
        <is>
          <t>Bay Street Market</t>
        </is>
      </c>
      <c r="E671" s="20" t="inlineStr">
        <is>
          <t>Grocery</t>
        </is>
      </c>
      <c r="F671" s="20" t="inlineStr">
        <is>
          <t>Granola</t>
        </is>
      </c>
      <c r="G671" s="22" t="n">
        <v>1080</v>
      </c>
      <c r="H671" s="23" t="n">
        <v>43.05</v>
      </c>
      <c r="I671" s="23" t="n">
        <v>46494</v>
      </c>
      <c r="J671" s="23" t="n">
        <v>29106</v>
      </c>
      <c r="K671">
        <f>IF(OR(COUNTIF($A$5:A671,A671)&gt;1,G671&lt;0,C671="",B671&lt;'Work 1'!$C$6,B671&gt;'Work 1'!$C$7,H671&gt;'Work 1'!$C$8*AVERAGEIF($F$5:$F$1014,F671,$H$5:$H$1014)),"Excl",IF(B671&gt;='Work 1'!$C$5,"LTM","Prior"))</f>
        <v/>
      </c>
      <c r="L671">
        <f>I671-J671</f>
        <v/>
      </c>
    </row>
    <row r="672" ht="14.25" customHeight="1" s="54">
      <c r="A672" s="20" t="inlineStr">
        <is>
          <t>BH-40666</t>
        </is>
      </c>
      <c r="B672" s="21" t="n">
        <v>45931</v>
      </c>
      <c r="C672" s="20" t="inlineStr">
        <is>
          <t>C16</t>
        </is>
      </c>
      <c r="D672" s="20" t="inlineStr">
        <is>
          <t>Bay Street Market</t>
        </is>
      </c>
      <c r="E672" s="20" t="inlineStr">
        <is>
          <t>Grocery</t>
        </is>
      </c>
      <c r="F672" s="20" t="inlineStr">
        <is>
          <t>Nut Butter</t>
        </is>
      </c>
      <c r="G672" s="22" t="n">
        <v>639</v>
      </c>
      <c r="H672" s="23" t="n">
        <v>57.25</v>
      </c>
      <c r="I672" s="23" t="n">
        <v>36582.75</v>
      </c>
      <c r="J672" s="23" t="n">
        <v>25240.5</v>
      </c>
      <c r="K672">
        <f>IF(OR(COUNTIF($A$5:A672,A672)&gt;1,G672&lt;0,C672="",B672&lt;'Work 1'!$C$6,B672&gt;'Work 1'!$C$7,H672&gt;'Work 1'!$C$8*AVERAGEIF($F$5:$F$1014,F672,$H$5:$H$1014)),"Excl",IF(B672&gt;='Work 1'!$C$5,"LTM","Prior"))</f>
        <v/>
      </c>
      <c r="L672">
        <f>I672-J672</f>
        <v/>
      </c>
    </row>
    <row r="673" ht="14.25" customHeight="1" s="54">
      <c r="A673" s="20" t="inlineStr">
        <is>
          <t>BH-40667</t>
        </is>
      </c>
      <c r="B673" s="21" t="n">
        <v>45931</v>
      </c>
      <c r="C673" s="20" t="inlineStr">
        <is>
          <t>C19</t>
        </is>
      </c>
      <c r="D673" s="20" t="inlineStr">
        <is>
          <t>Greenway Markets</t>
        </is>
      </c>
      <c r="E673" s="20" t="inlineStr">
        <is>
          <t>Grocery</t>
        </is>
      </c>
      <c r="F673" s="20" t="inlineStr">
        <is>
          <t>Granola</t>
        </is>
      </c>
      <c r="G673" s="22" t="n">
        <v>1610</v>
      </c>
      <c r="H673" s="23" t="n">
        <v>43.05</v>
      </c>
      <c r="I673" s="23" t="n">
        <v>69310.5</v>
      </c>
      <c r="J673" s="23" t="n">
        <v>43389.5</v>
      </c>
      <c r="K673">
        <f>IF(OR(COUNTIF($A$5:A673,A673)&gt;1,G673&lt;0,C673="",B673&lt;'Work 1'!$C$6,B673&gt;'Work 1'!$C$7,H673&gt;'Work 1'!$C$8*AVERAGEIF($F$5:$F$1014,F673,$H$5:$H$1014)),"Excl",IF(B673&gt;='Work 1'!$C$5,"LTM","Prior"))</f>
        <v/>
      </c>
      <c r="L673">
        <f>I673-J673</f>
        <v/>
      </c>
    </row>
    <row r="674" ht="14.25" customHeight="1" s="54">
      <c r="A674" s="20" t="inlineStr">
        <is>
          <t>BH-40668</t>
        </is>
      </c>
      <c r="B674" s="21" t="n">
        <v>45931</v>
      </c>
      <c r="C674" s="20" t="inlineStr">
        <is>
          <t>C19</t>
        </is>
      </c>
      <c r="D674" s="20" t="inlineStr">
        <is>
          <t>Greenway Markets</t>
        </is>
      </c>
      <c r="E674" s="20" t="inlineStr">
        <is>
          <t>Grocery</t>
        </is>
      </c>
      <c r="F674" s="20" t="inlineStr">
        <is>
          <t>Nut Butter</t>
        </is>
      </c>
      <c r="G674" s="22" t="n">
        <v>797</v>
      </c>
      <c r="H674" s="23" t="n">
        <v>57.25</v>
      </c>
      <c r="I674" s="23" t="n">
        <v>45628.25</v>
      </c>
      <c r="J674" s="23" t="n">
        <v>31481.5</v>
      </c>
      <c r="K674">
        <f>IF(OR(COUNTIF($A$5:A674,A674)&gt;1,G674&lt;0,C674="",B674&lt;'Work 1'!$C$6,B674&gt;'Work 1'!$C$7,H674&gt;'Work 1'!$C$8*AVERAGEIF($F$5:$F$1014,F674,$H$5:$H$1014)),"Excl",IF(B674&gt;='Work 1'!$C$5,"LTM","Prior"))</f>
        <v/>
      </c>
      <c r="L674">
        <f>I674-J674</f>
        <v/>
      </c>
    </row>
    <row r="675" ht="14.25" customHeight="1" s="54">
      <c r="A675" s="20" t="inlineStr">
        <is>
          <t>BH-40669</t>
        </is>
      </c>
      <c r="B675" s="21" t="n">
        <v>45931</v>
      </c>
      <c r="C675" s="20" t="inlineStr">
        <is>
          <t>C19</t>
        </is>
      </c>
      <c r="D675" s="20" t="inlineStr">
        <is>
          <t>Greenway Markets</t>
        </is>
      </c>
      <c r="E675" s="20" t="inlineStr">
        <is>
          <t>Grocery</t>
        </is>
      </c>
      <c r="F675" s="20" t="inlineStr">
        <is>
          <t>Snack Bars</t>
        </is>
      </c>
      <c r="G675" s="22" t="n">
        <v>824</v>
      </c>
      <c r="H675" s="23" t="n">
        <v>33.35</v>
      </c>
      <c r="I675" s="23" t="n">
        <v>27480.4</v>
      </c>
      <c r="J675" s="23" t="n">
        <v>16850.8</v>
      </c>
      <c r="K675">
        <f>IF(OR(COUNTIF($A$5:A675,A675)&gt;1,G675&lt;0,C675="",B675&lt;'Work 1'!$C$6,B675&gt;'Work 1'!$C$7,H675&gt;'Work 1'!$C$8*AVERAGEIF($F$5:$F$1014,F675,$H$5:$H$1014)),"Excl",IF(B675&gt;='Work 1'!$C$5,"LTM","Prior"))</f>
        <v/>
      </c>
      <c r="L675">
        <f>I675-J675</f>
        <v/>
      </c>
    </row>
    <row r="676" ht="14.25" customHeight="1" s="54">
      <c r="A676" s="20" t="inlineStr">
        <is>
          <t>BH-40670</t>
        </is>
      </c>
      <c r="B676" s="21" t="n">
        <v>45962</v>
      </c>
      <c r="C676" s="20" t="inlineStr">
        <is>
          <t>C01</t>
        </is>
      </c>
      <c r="D676" s="20" t="inlineStr">
        <is>
          <t>Northfield Markets</t>
        </is>
      </c>
      <c r="E676" s="20" t="inlineStr">
        <is>
          <t>Grocery</t>
        </is>
      </c>
      <c r="F676" s="20" t="inlineStr">
        <is>
          <t>Granola</t>
        </is>
      </c>
      <c r="G676" s="22" t="n">
        <v>16253</v>
      </c>
      <c r="H676" s="23" t="n">
        <v>39.61</v>
      </c>
      <c r="I676" s="23" t="n">
        <v>643781.33</v>
      </c>
      <c r="J676" s="23" t="n">
        <v>438018.35</v>
      </c>
      <c r="K676">
        <f>IF(OR(COUNTIF($A$5:A676,A676)&gt;1,G676&lt;0,C676="",B676&lt;'Work 1'!$C$6,B676&gt;'Work 1'!$C$7,H676&gt;'Work 1'!$C$8*AVERAGEIF($F$5:$F$1014,F676,$H$5:$H$1014)),"Excl",IF(B676&gt;='Work 1'!$C$5,"LTM","Prior"))</f>
        <v/>
      </c>
      <c r="L676">
        <f>I676-J676</f>
        <v/>
      </c>
    </row>
    <row r="677" ht="14.25" customHeight="1" s="54">
      <c r="A677" s="20" t="inlineStr">
        <is>
          <t>BH-40671</t>
        </is>
      </c>
      <c r="B677" s="21" t="n">
        <v>45962</v>
      </c>
      <c r="C677" s="20" t="inlineStr">
        <is>
          <t>C01</t>
        </is>
      </c>
      <c r="D677" s="20" t="inlineStr">
        <is>
          <t>Northfield Markets</t>
        </is>
      </c>
      <c r="E677" s="20" t="inlineStr">
        <is>
          <t>Grocery</t>
        </is>
      </c>
      <c r="F677" s="20" t="inlineStr">
        <is>
          <t>Nut Butter</t>
        </is>
      </c>
      <c r="G677" s="22" t="n">
        <v>8287</v>
      </c>
      <c r="H677" s="23" t="n">
        <v>52.67</v>
      </c>
      <c r="I677" s="23" t="n">
        <v>436476.29</v>
      </c>
      <c r="J677" s="23" t="n">
        <v>327336.5</v>
      </c>
      <c r="K677">
        <f>IF(OR(COUNTIF($A$5:A677,A677)&gt;1,G677&lt;0,C677="",B677&lt;'Work 1'!$C$6,B677&gt;'Work 1'!$C$7,H677&gt;'Work 1'!$C$8*AVERAGEIF($F$5:$F$1014,F677,$H$5:$H$1014)),"Excl",IF(B677&gt;='Work 1'!$C$5,"LTM","Prior"))</f>
        <v/>
      </c>
      <c r="L677">
        <f>I677-J677</f>
        <v/>
      </c>
    </row>
    <row r="678" ht="14.25" customHeight="1" s="54">
      <c r="A678" s="20" t="inlineStr">
        <is>
          <t>BH-40672</t>
        </is>
      </c>
      <c r="B678" s="21" t="n">
        <v>45962</v>
      </c>
      <c r="C678" s="20" t="inlineStr">
        <is>
          <t>C01</t>
        </is>
      </c>
      <c r="D678" s="20" t="inlineStr">
        <is>
          <t>Northfield Markets</t>
        </is>
      </c>
      <c r="E678" s="20" t="inlineStr">
        <is>
          <t>Grocery</t>
        </is>
      </c>
      <c r="F678" s="20" t="inlineStr">
        <is>
          <t>Snack Bars</t>
        </is>
      </c>
      <c r="G678" s="22" t="n">
        <v>12607</v>
      </c>
      <c r="H678" s="23" t="n">
        <v>30.68</v>
      </c>
      <c r="I678" s="23" t="n">
        <v>386782.76</v>
      </c>
      <c r="J678" s="23" t="n">
        <v>257813.15</v>
      </c>
      <c r="K678">
        <f>IF(OR(COUNTIF($A$5:A678,A678)&gt;1,G678&lt;0,C678="",B678&lt;'Work 1'!$C$6,B678&gt;'Work 1'!$C$7,H678&gt;'Work 1'!$C$8*AVERAGEIF($F$5:$F$1014,F678,$H$5:$H$1014)),"Excl",IF(B678&gt;='Work 1'!$C$5,"LTM","Prior"))</f>
        <v/>
      </c>
      <c r="L678">
        <f>I678-J678</f>
        <v/>
      </c>
    </row>
    <row r="679" ht="14.25" customHeight="1" s="54">
      <c r="A679" s="20" t="inlineStr">
        <is>
          <t>BH-40673</t>
        </is>
      </c>
      <c r="B679" s="21" t="n">
        <v>45962</v>
      </c>
      <c r="C679" s="20" t="inlineStr">
        <is>
          <t>C02</t>
        </is>
      </c>
      <c r="D679" s="20" t="inlineStr">
        <is>
          <t>Crestline Grocers</t>
        </is>
      </c>
      <c r="E679" s="20" t="inlineStr">
        <is>
          <t>Grocery</t>
        </is>
      </c>
      <c r="F679" s="20" t="inlineStr">
        <is>
          <t>Granola</t>
        </is>
      </c>
      <c r="G679" s="22" t="n">
        <v>4390</v>
      </c>
      <c r="H679" s="23" t="n">
        <v>41.76</v>
      </c>
      <c r="I679" s="23" t="n">
        <v>183326.4</v>
      </c>
      <c r="J679" s="23" t="n">
        <v>118310.5</v>
      </c>
      <c r="K679">
        <f>IF(OR(COUNTIF($A$5:A679,A679)&gt;1,G679&lt;0,C679="",B679&lt;'Work 1'!$C$6,B679&gt;'Work 1'!$C$7,H679&gt;'Work 1'!$C$8*AVERAGEIF($F$5:$F$1014,F679,$H$5:$H$1014)),"Excl",IF(B679&gt;='Work 1'!$C$5,"LTM","Prior"))</f>
        <v/>
      </c>
      <c r="L679">
        <f>I679-J679</f>
        <v/>
      </c>
    </row>
    <row r="680" ht="14.25" customHeight="1" s="54">
      <c r="A680" s="20" t="inlineStr">
        <is>
          <t>BH-40674</t>
        </is>
      </c>
      <c r="B680" s="21" t="n">
        <v>45962</v>
      </c>
      <c r="C680" s="20" t="inlineStr">
        <is>
          <t>C02</t>
        </is>
      </c>
      <c r="D680" s="20" t="inlineStr">
        <is>
          <t>Crestline Grocers</t>
        </is>
      </c>
      <c r="E680" s="20" t="inlineStr">
        <is>
          <t>Grocery</t>
        </is>
      </c>
      <c r="F680" s="20" t="inlineStr">
        <is>
          <t>Nut Butter</t>
        </is>
      </c>
      <c r="G680" s="22" t="n">
        <v>2199</v>
      </c>
      <c r="H680" s="23" t="n">
        <v>55.53</v>
      </c>
      <c r="I680" s="23" t="n">
        <v>122110.47</v>
      </c>
      <c r="J680" s="23" t="n">
        <v>86860.5</v>
      </c>
      <c r="K680">
        <f>IF(OR(COUNTIF($A$5:A680,A680)&gt;1,G680&lt;0,C680="",B680&lt;'Work 1'!$C$6,B680&gt;'Work 1'!$C$7,H680&gt;'Work 1'!$C$8*AVERAGEIF($F$5:$F$1014,F680,$H$5:$H$1014)),"Excl",IF(B680&gt;='Work 1'!$C$5,"LTM","Prior"))</f>
        <v/>
      </c>
      <c r="L680">
        <f>I680-J680</f>
        <v/>
      </c>
    </row>
    <row r="681" ht="14.25" customHeight="1" s="54">
      <c r="A681" s="20" t="inlineStr">
        <is>
          <t>BH-40675</t>
        </is>
      </c>
      <c r="B681" s="21" t="n">
        <v>45962</v>
      </c>
      <c r="C681" s="20" t="inlineStr">
        <is>
          <t>C02</t>
        </is>
      </c>
      <c r="D681" s="20" t="inlineStr">
        <is>
          <t>Crestline Grocers</t>
        </is>
      </c>
      <c r="E681" s="20" t="inlineStr">
        <is>
          <t>Grocery</t>
        </is>
      </c>
      <c r="F681" s="20" t="inlineStr">
        <is>
          <t>Snack Bars</t>
        </is>
      </c>
      <c r="G681" s="22" t="n">
        <v>3689</v>
      </c>
      <c r="H681" s="23" t="n">
        <v>32.35</v>
      </c>
      <c r="I681" s="23" t="n">
        <v>119339.15</v>
      </c>
      <c r="J681" s="23" t="n">
        <v>75440.05</v>
      </c>
      <c r="K681">
        <f>IF(OR(COUNTIF($A$5:A681,A681)&gt;1,G681&lt;0,C681="",B681&lt;'Work 1'!$C$6,B681&gt;'Work 1'!$C$7,H681&gt;'Work 1'!$C$8*AVERAGEIF($F$5:$F$1014,F681,$H$5:$H$1014)),"Excl",IF(B681&gt;='Work 1'!$C$5,"LTM","Prior"))</f>
        <v/>
      </c>
      <c r="L681">
        <f>I681-J681</f>
        <v/>
      </c>
    </row>
    <row r="682" ht="14.25" customHeight="1" s="54">
      <c r="A682" s="20" t="inlineStr">
        <is>
          <t>BH-40676</t>
        </is>
      </c>
      <c r="B682" s="21" t="n">
        <v>45962</v>
      </c>
      <c r="C682" s="20" t="inlineStr">
        <is>
          <t>C03</t>
        </is>
      </c>
      <c r="D682" s="20" t="inlineStr">
        <is>
          <t>ValuClub Warehouse</t>
        </is>
      </c>
      <c r="E682" s="20" t="inlineStr">
        <is>
          <t>Club</t>
        </is>
      </c>
      <c r="F682" s="20" t="inlineStr">
        <is>
          <t>Granola</t>
        </is>
      </c>
      <c r="G682" s="22" t="n">
        <v>13553</v>
      </c>
      <c r="H682" s="23" t="n">
        <v>36.6</v>
      </c>
      <c r="I682" s="23" t="n">
        <v>496039.8</v>
      </c>
      <c r="J682" s="23" t="n">
        <v>365253.35</v>
      </c>
      <c r="K682">
        <f>IF(OR(COUNTIF($A$5:A682,A682)&gt;1,G682&lt;0,C682="",B682&lt;'Work 1'!$C$6,B682&gt;'Work 1'!$C$7,H682&gt;'Work 1'!$C$8*AVERAGEIF($F$5:$F$1014,F682,$H$5:$H$1014)),"Excl",IF(B682&gt;='Work 1'!$C$5,"LTM","Prior"))</f>
        <v/>
      </c>
      <c r="L682">
        <f>I682-J682</f>
        <v/>
      </c>
    </row>
    <row r="683" ht="14.25" customHeight="1" s="54">
      <c r="A683" s="20" t="inlineStr">
        <is>
          <t>BH-40677</t>
        </is>
      </c>
      <c r="B683" s="21" t="n">
        <v>45962</v>
      </c>
      <c r="C683" s="20" t="inlineStr">
        <is>
          <t>C03</t>
        </is>
      </c>
      <c r="D683" s="20" t="inlineStr">
        <is>
          <t>ValuClub Warehouse</t>
        </is>
      </c>
      <c r="E683" s="20" t="inlineStr">
        <is>
          <t>Club</t>
        </is>
      </c>
      <c r="F683" s="20" t="inlineStr">
        <is>
          <t>Snack Bars</t>
        </is>
      </c>
      <c r="G683" s="22" t="n">
        <v>14653</v>
      </c>
      <c r="H683" s="23" t="n">
        <v>25.35</v>
      </c>
      <c r="I683" s="23" t="n">
        <v>371453.55</v>
      </c>
      <c r="J683" s="23" t="n">
        <v>299653.85</v>
      </c>
      <c r="K683">
        <f>IF(OR(COUNTIF($A$5:A683,A683)&gt;1,G683&lt;0,C683="",B683&lt;'Work 1'!$C$6,B683&gt;'Work 1'!$C$7,H683&gt;'Work 1'!$C$8*AVERAGEIF($F$5:$F$1014,F683,$H$5:$H$1014)),"Excl",IF(B683&gt;='Work 1'!$C$5,"LTM","Prior"))</f>
        <v/>
      </c>
      <c r="L683">
        <f>I683-J683</f>
        <v/>
      </c>
    </row>
    <row r="684" ht="14.25" customHeight="1" s="54">
      <c r="A684" s="20" t="inlineStr">
        <is>
          <t>BH-40678</t>
        </is>
      </c>
      <c r="B684" s="21" t="n">
        <v>45962</v>
      </c>
      <c r="C684" s="20" t="inlineStr">
        <is>
          <t>C04</t>
        </is>
      </c>
      <c r="D684" s="20" t="inlineStr">
        <is>
          <t>Harvest Lane Co-op</t>
        </is>
      </c>
      <c r="E684" s="20" t="inlineStr">
        <is>
          <t>Grocery</t>
        </is>
      </c>
      <c r="F684" s="20" t="inlineStr">
        <is>
          <t>Granola</t>
        </is>
      </c>
      <c r="G684" s="22" t="n">
        <v>3150</v>
      </c>
      <c r="H684" s="23" t="n">
        <v>43.05</v>
      </c>
      <c r="I684" s="23" t="n">
        <v>135607.5</v>
      </c>
      <c r="J684" s="23" t="n">
        <v>84892.5</v>
      </c>
      <c r="K684">
        <f>IF(OR(COUNTIF($A$5:A684,A684)&gt;1,G684&lt;0,C684="",B684&lt;'Work 1'!$C$6,B684&gt;'Work 1'!$C$7,H684&gt;'Work 1'!$C$8*AVERAGEIF($F$5:$F$1014,F684,$H$5:$H$1014)),"Excl",IF(B684&gt;='Work 1'!$C$5,"LTM","Prior"))</f>
        <v/>
      </c>
      <c r="L684">
        <f>I684-J684</f>
        <v/>
      </c>
    </row>
    <row r="685" ht="14.25" customHeight="1" s="54">
      <c r="A685" s="20" t="inlineStr">
        <is>
          <t>BH-40679</t>
        </is>
      </c>
      <c r="B685" s="21" t="n">
        <v>45962</v>
      </c>
      <c r="C685" s="20" t="inlineStr">
        <is>
          <t>C04</t>
        </is>
      </c>
      <c r="D685" s="20" t="inlineStr">
        <is>
          <t>Harvest Lane Co-op</t>
        </is>
      </c>
      <c r="E685" s="20" t="inlineStr">
        <is>
          <t>Grocery</t>
        </is>
      </c>
      <c r="F685" s="20" t="inlineStr">
        <is>
          <t>Nut Butter</t>
        </is>
      </c>
      <c r="G685" s="22" t="n">
        <v>1674</v>
      </c>
      <c r="H685" s="23" t="n">
        <v>57.25</v>
      </c>
      <c r="I685" s="23" t="n">
        <v>95836.5</v>
      </c>
      <c r="J685" s="23" t="n">
        <v>66123</v>
      </c>
      <c r="K685">
        <f>IF(OR(COUNTIF($A$5:A685,A685)&gt;1,G685&lt;0,C685="",B685&lt;'Work 1'!$C$6,B685&gt;'Work 1'!$C$7,H685&gt;'Work 1'!$C$8*AVERAGEIF($F$5:$F$1014,F685,$H$5:$H$1014)),"Excl",IF(B685&gt;='Work 1'!$C$5,"LTM","Prior"))</f>
        <v/>
      </c>
      <c r="L685">
        <f>I685-J685</f>
        <v/>
      </c>
    </row>
    <row r="686" ht="14.25" customHeight="1" s="54">
      <c r="A686" s="20" t="inlineStr">
        <is>
          <t>BH-40680</t>
        </is>
      </c>
      <c r="B686" s="21" t="n">
        <v>45962</v>
      </c>
      <c r="C686" s="20" t="inlineStr">
        <is>
          <t>C04</t>
        </is>
      </c>
      <c r="D686" s="20" t="inlineStr">
        <is>
          <t>Harvest Lane Co-op</t>
        </is>
      </c>
      <c r="E686" s="20" t="inlineStr">
        <is>
          <t>Grocery</t>
        </is>
      </c>
      <c r="F686" s="20" t="inlineStr">
        <is>
          <t>Snack Bars</t>
        </is>
      </c>
      <c r="G686" s="22" t="n">
        <v>1991</v>
      </c>
      <c r="H686" s="23" t="n">
        <v>33.35</v>
      </c>
      <c r="I686" s="23" t="n">
        <v>66399.85000000001</v>
      </c>
      <c r="J686" s="23" t="n">
        <v>40715.95</v>
      </c>
      <c r="K686">
        <f>IF(OR(COUNTIF($A$5:A686,A686)&gt;1,G686&lt;0,C686="",B686&lt;'Work 1'!$C$6,B686&gt;'Work 1'!$C$7,H686&gt;'Work 1'!$C$8*AVERAGEIF($F$5:$F$1014,F686,$H$5:$H$1014)),"Excl",IF(B686&gt;='Work 1'!$C$5,"LTM","Prior"))</f>
        <v/>
      </c>
      <c r="L686">
        <f>I686-J686</f>
        <v/>
      </c>
    </row>
    <row r="687" ht="14.25" customHeight="1" s="54">
      <c r="A687" s="20" t="inlineStr">
        <is>
          <t>BH-49512</t>
        </is>
      </c>
      <c r="B687" s="21" t="n">
        <v>45962</v>
      </c>
      <c r="C687" s="20" t="inlineStr">
        <is>
          <t>C04</t>
        </is>
      </c>
      <c r="D687" s="20" t="inlineStr">
        <is>
          <t>Harvest Lane Co-op</t>
        </is>
      </c>
      <c r="E687" s="20" t="inlineStr">
        <is>
          <t>Grocery</t>
        </is>
      </c>
      <c r="F687" s="20" t="inlineStr">
        <is>
          <t>Snack Bars</t>
        </is>
      </c>
      <c r="G687" s="22" t="n">
        <v>-420</v>
      </c>
      <c r="H687" s="23" t="n">
        <v>33.35</v>
      </c>
      <c r="I687" s="23" t="n">
        <v>-14007</v>
      </c>
      <c r="J687" s="23" t="n">
        <v>-8589</v>
      </c>
      <c r="K687">
        <f>IF(OR(COUNTIF($A$5:A687,A687)&gt;1,G687&lt;0,C687="",B687&lt;'Work 1'!$C$6,B687&gt;'Work 1'!$C$7,H687&gt;'Work 1'!$C$8*AVERAGEIF($F$5:$F$1014,F687,$H$5:$H$1014)),"Excl",IF(B687&gt;='Work 1'!$C$5,"LTM","Prior"))</f>
        <v/>
      </c>
      <c r="L687">
        <f>I687-J687</f>
        <v/>
      </c>
    </row>
    <row r="688" ht="14.25" customHeight="1" s="54">
      <c r="A688" s="20" t="inlineStr">
        <is>
          <t>BH-40681</t>
        </is>
      </c>
      <c r="B688" s="21" t="n">
        <v>45962</v>
      </c>
      <c r="C688" s="20" t="inlineStr">
        <is>
          <t>C05</t>
        </is>
      </c>
      <c r="D688" s="20" t="inlineStr">
        <is>
          <t>Pioneer Foods Distribution</t>
        </is>
      </c>
      <c r="E688" s="20" t="inlineStr">
        <is>
          <t>Grocery</t>
        </is>
      </c>
      <c r="F688" s="20" t="inlineStr">
        <is>
          <t>Granola</t>
        </is>
      </c>
      <c r="G688" s="22" t="n">
        <v>3621</v>
      </c>
      <c r="H688" s="23" t="n">
        <v>38.74</v>
      </c>
      <c r="I688" s="23" t="n">
        <v>140277.54</v>
      </c>
      <c r="J688" s="23" t="n">
        <v>97585.95</v>
      </c>
      <c r="K688">
        <f>IF(OR(COUNTIF($A$5:A688,A688)&gt;1,G688&lt;0,C688="",B688&lt;'Work 1'!$C$6,B688&gt;'Work 1'!$C$7,H688&gt;'Work 1'!$C$8*AVERAGEIF($F$5:$F$1014,F688,$H$5:$H$1014)),"Excl",IF(B688&gt;='Work 1'!$C$5,"LTM","Prior"))</f>
        <v/>
      </c>
      <c r="L688">
        <f>I688-J688</f>
        <v/>
      </c>
    </row>
    <row r="689" ht="14.25" customHeight="1" s="54">
      <c r="A689" s="20" t="inlineStr">
        <is>
          <t>BH-40682</t>
        </is>
      </c>
      <c r="B689" s="21" t="n">
        <v>45962</v>
      </c>
      <c r="C689" s="20" t="inlineStr">
        <is>
          <t>C05</t>
        </is>
      </c>
      <c r="D689" s="20" t="inlineStr">
        <is>
          <t>Pioneer Foods Distribution</t>
        </is>
      </c>
      <c r="E689" s="20" t="inlineStr">
        <is>
          <t>Grocery</t>
        </is>
      </c>
      <c r="F689" s="20" t="inlineStr">
        <is>
          <t>Nut Butter</t>
        </is>
      </c>
      <c r="G689" s="22" t="n">
        <v>2186</v>
      </c>
      <c r="H689" s="23" t="n">
        <v>51.52</v>
      </c>
      <c r="I689" s="23" t="n">
        <v>112622.72</v>
      </c>
      <c r="J689" s="23" t="n">
        <v>86347</v>
      </c>
      <c r="K689">
        <f>IF(OR(COUNTIF($A$5:A689,A689)&gt;1,G689&lt;0,C689="",B689&lt;'Work 1'!$C$6,B689&gt;'Work 1'!$C$7,H689&gt;'Work 1'!$C$8*AVERAGEIF($F$5:$F$1014,F689,$H$5:$H$1014)),"Excl",IF(B689&gt;='Work 1'!$C$5,"LTM","Prior"))</f>
        <v/>
      </c>
      <c r="L689">
        <f>I689-J689</f>
        <v/>
      </c>
    </row>
    <row r="690" ht="14.25" customHeight="1" s="54">
      <c r="A690" s="20" t="inlineStr">
        <is>
          <t>BH-40683</t>
        </is>
      </c>
      <c r="B690" s="21" t="n">
        <v>45962</v>
      </c>
      <c r="C690" s="20" t="inlineStr">
        <is>
          <t>C05</t>
        </is>
      </c>
      <c r="D690" s="20" t="inlineStr">
        <is>
          <t>Pioneer Foods Distribution</t>
        </is>
      </c>
      <c r="E690" s="20" t="inlineStr">
        <is>
          <t>Grocery</t>
        </is>
      </c>
      <c r="F690" s="20" t="inlineStr">
        <is>
          <t>Snack Bars</t>
        </is>
      </c>
      <c r="G690" s="22" t="n">
        <v>3393</v>
      </c>
      <c r="H690" s="23" t="n">
        <v>30.02</v>
      </c>
      <c r="I690" s="23" t="n">
        <v>101857.86</v>
      </c>
      <c r="J690" s="23" t="n">
        <v>69386.85000000001</v>
      </c>
      <c r="K690">
        <f>IF(OR(COUNTIF($A$5:A690,A690)&gt;1,G690&lt;0,C690="",B690&lt;'Work 1'!$C$6,B690&gt;'Work 1'!$C$7,H690&gt;'Work 1'!$C$8*AVERAGEIF($F$5:$F$1014,F690,$H$5:$H$1014)),"Excl",IF(B690&gt;='Work 1'!$C$5,"LTM","Prior"))</f>
        <v/>
      </c>
      <c r="L690">
        <f>I690-J690</f>
        <v/>
      </c>
    </row>
    <row r="691" ht="14.25" customHeight="1" s="54">
      <c r="A691" s="20" t="inlineStr">
        <is>
          <t>BH-40684</t>
        </is>
      </c>
      <c r="B691" s="21" t="n">
        <v>45962</v>
      </c>
      <c r="C691" s="20" t="inlineStr">
        <is>
          <t>C06</t>
        </is>
      </c>
      <c r="D691" s="20" t="inlineStr">
        <is>
          <t>Summit Club Stores</t>
        </is>
      </c>
      <c r="E691" s="20" t="inlineStr">
        <is>
          <t>Club</t>
        </is>
      </c>
      <c r="F691" s="20" t="inlineStr">
        <is>
          <t>Granola</t>
        </is>
      </c>
      <c r="G691" s="22" t="n">
        <v>5433</v>
      </c>
      <c r="H691" s="23" t="n">
        <v>36.6</v>
      </c>
      <c r="I691" s="23" t="n">
        <v>198847.8</v>
      </c>
      <c r="J691" s="23" t="n">
        <v>146419.35</v>
      </c>
      <c r="K691">
        <f>IF(OR(COUNTIF($A$5:A691,A691)&gt;1,G691&lt;0,C691="",B691&lt;'Work 1'!$C$6,B691&gt;'Work 1'!$C$7,H691&gt;'Work 1'!$C$8*AVERAGEIF($F$5:$F$1014,F691,$H$5:$H$1014)),"Excl",IF(B691&gt;='Work 1'!$C$5,"LTM","Prior"))</f>
        <v/>
      </c>
      <c r="L691">
        <f>I691-J691</f>
        <v/>
      </c>
    </row>
    <row r="692" ht="14.25" customHeight="1" s="54">
      <c r="A692" s="20" t="inlineStr">
        <is>
          <t>BH-40685</t>
        </is>
      </c>
      <c r="B692" s="21" t="n">
        <v>45962</v>
      </c>
      <c r="C692" s="20" t="inlineStr">
        <is>
          <t>C06</t>
        </is>
      </c>
      <c r="D692" s="20" t="inlineStr">
        <is>
          <t>Summit Club Stores</t>
        </is>
      </c>
      <c r="E692" s="20" t="inlineStr">
        <is>
          <t>Club</t>
        </is>
      </c>
      <c r="F692" s="20" t="inlineStr">
        <is>
          <t>Nut Butter</t>
        </is>
      </c>
      <c r="G692" s="22" t="n">
        <v>2895</v>
      </c>
      <c r="H692" s="23" t="n">
        <v>48.75</v>
      </c>
      <c r="I692" s="23" t="n">
        <v>141131.25</v>
      </c>
      <c r="J692" s="23" t="n">
        <v>114352.5</v>
      </c>
      <c r="K692">
        <f>IF(OR(COUNTIF($A$5:A692,A692)&gt;1,G692&lt;0,C692="",B692&lt;'Work 1'!$C$6,B692&gt;'Work 1'!$C$7,H692&gt;'Work 1'!$C$8*AVERAGEIF($F$5:$F$1014,F692,$H$5:$H$1014)),"Excl",IF(B692&gt;='Work 1'!$C$5,"LTM","Prior"))</f>
        <v/>
      </c>
      <c r="L692">
        <f>I692-J692</f>
        <v/>
      </c>
    </row>
    <row r="693" ht="14.25" customHeight="1" s="54">
      <c r="A693" s="20" t="inlineStr">
        <is>
          <t>BH-40686</t>
        </is>
      </c>
      <c r="B693" s="21" t="n">
        <v>45962</v>
      </c>
      <c r="C693" s="20" t="inlineStr">
        <is>
          <t>C07</t>
        </is>
      </c>
      <c r="D693" s="20" t="inlineStr">
        <is>
          <t>Bramble Hill Online Store</t>
        </is>
      </c>
      <c r="E693" s="20" t="inlineStr">
        <is>
          <t>Online</t>
        </is>
      </c>
      <c r="F693" s="20" t="inlineStr">
        <is>
          <t>Granola</t>
        </is>
      </c>
      <c r="G693" s="22" t="n">
        <v>4006</v>
      </c>
      <c r="H693" s="23" t="n">
        <v>49.4</v>
      </c>
      <c r="I693" s="23" t="n">
        <v>197896.4</v>
      </c>
      <c r="J693" s="23" t="n">
        <v>107961.7</v>
      </c>
      <c r="K693">
        <f>IF(OR(COUNTIF($A$5:A693,A693)&gt;1,G693&lt;0,C693="",B693&lt;'Work 1'!$C$6,B693&gt;'Work 1'!$C$7,H693&gt;'Work 1'!$C$8*AVERAGEIF($F$5:$F$1014,F693,$H$5:$H$1014)),"Excl",IF(B693&gt;='Work 1'!$C$5,"LTM","Prior"))</f>
        <v/>
      </c>
      <c r="L693">
        <f>I693-J693</f>
        <v/>
      </c>
    </row>
    <row r="694" ht="14.25" customHeight="1" s="54">
      <c r="A694" s="20" t="inlineStr">
        <is>
          <t>BH-40687</t>
        </is>
      </c>
      <c r="B694" s="21" t="n">
        <v>45962</v>
      </c>
      <c r="C694" s="20" t="inlineStr">
        <is>
          <t>C07</t>
        </is>
      </c>
      <c r="D694" s="20" t="inlineStr">
        <is>
          <t>Bramble Hill Online Store</t>
        </is>
      </c>
      <c r="E694" s="20" t="inlineStr">
        <is>
          <t>Online</t>
        </is>
      </c>
      <c r="F694" s="20" t="inlineStr">
        <is>
          <t>Nut Butter</t>
        </is>
      </c>
      <c r="G694" s="22" t="n">
        <v>2242</v>
      </c>
      <c r="H694" s="23" t="n">
        <v>64.40000000000001</v>
      </c>
      <c r="I694" s="23" t="n">
        <v>144384.8</v>
      </c>
      <c r="J694" s="23" t="n">
        <v>88559</v>
      </c>
      <c r="K694">
        <f>IF(OR(COUNTIF($A$5:A694,A694)&gt;1,G694&lt;0,C694="",B694&lt;'Work 1'!$C$6,B694&gt;'Work 1'!$C$7,H694&gt;'Work 1'!$C$8*AVERAGEIF($F$5:$F$1014,F694,$H$5:$H$1014)),"Excl",IF(B694&gt;='Work 1'!$C$5,"LTM","Prior"))</f>
        <v/>
      </c>
      <c r="L694">
        <f>I694-J694</f>
        <v/>
      </c>
    </row>
    <row r="695" ht="14.25" customHeight="1" s="54">
      <c r="A695" s="20" t="inlineStr">
        <is>
          <t>BH-40688</t>
        </is>
      </c>
      <c r="B695" s="21" t="n">
        <v>45962</v>
      </c>
      <c r="C695" s="20" t="inlineStr">
        <is>
          <t>C07</t>
        </is>
      </c>
      <c r="D695" s="20" t="inlineStr">
        <is>
          <t>Bramble Hill Online Store</t>
        </is>
      </c>
      <c r="E695" s="20" t="inlineStr">
        <is>
          <t>Online</t>
        </is>
      </c>
      <c r="F695" s="20" t="inlineStr">
        <is>
          <t>Snack Bars</t>
        </is>
      </c>
      <c r="G695" s="22" t="n">
        <v>2864</v>
      </c>
      <c r="H695" s="23" t="n">
        <v>39.3</v>
      </c>
      <c r="I695" s="23" t="n">
        <v>112555.2</v>
      </c>
      <c r="J695" s="23" t="n">
        <v>58568.8</v>
      </c>
      <c r="K695">
        <f>IF(OR(COUNTIF($A$5:A695,A695)&gt;1,G695&lt;0,C695="",B695&lt;'Work 1'!$C$6,B695&gt;'Work 1'!$C$7,H695&gt;'Work 1'!$C$8*AVERAGEIF($F$5:$F$1014,F695,$H$5:$H$1014)),"Excl",IF(B695&gt;='Work 1'!$C$5,"LTM","Prior"))</f>
        <v/>
      </c>
      <c r="L695">
        <f>I695-J695</f>
        <v/>
      </c>
    </row>
    <row r="696" ht="14.25" customHeight="1" s="54">
      <c r="A696" s="20" t="inlineStr">
        <is>
          <t>BH-40689</t>
        </is>
      </c>
      <c r="B696" s="21" t="n">
        <v>45962</v>
      </c>
      <c r="C696" s="20" t="inlineStr">
        <is>
          <t>C08</t>
        </is>
      </c>
      <c r="D696" s="20" t="inlineStr">
        <is>
          <t>Online Marketplace</t>
        </is>
      </c>
      <c r="E696" s="20" t="inlineStr">
        <is>
          <t>Online</t>
        </is>
      </c>
      <c r="F696" s="20" t="inlineStr">
        <is>
          <t>Granola</t>
        </is>
      </c>
      <c r="G696" s="22" t="n">
        <v>3979</v>
      </c>
      <c r="H696" s="23" t="n">
        <v>43.47</v>
      </c>
      <c r="I696" s="23" t="n">
        <v>172967.13</v>
      </c>
      <c r="J696" s="23" t="n">
        <v>107234.05</v>
      </c>
      <c r="K696">
        <f>IF(OR(COUNTIF($A$5:A696,A696)&gt;1,G696&lt;0,C696="",B696&lt;'Work 1'!$C$6,B696&gt;'Work 1'!$C$7,H696&gt;'Work 1'!$C$8*AVERAGEIF($F$5:$F$1014,F696,$H$5:$H$1014)),"Excl",IF(B696&gt;='Work 1'!$C$5,"LTM","Prior"))</f>
        <v/>
      </c>
      <c r="L696">
        <f>I696-J696</f>
        <v/>
      </c>
    </row>
    <row r="697" ht="14.25" customHeight="1" s="54">
      <c r="A697" s="20" t="inlineStr">
        <is>
          <t>BH-40690</t>
        </is>
      </c>
      <c r="B697" s="21" t="n">
        <v>45962</v>
      </c>
      <c r="C697" s="20" t="inlineStr">
        <is>
          <t>C08</t>
        </is>
      </c>
      <c r="D697" s="20" t="inlineStr">
        <is>
          <t>Online Marketplace</t>
        </is>
      </c>
      <c r="E697" s="20" t="inlineStr">
        <is>
          <t>Online</t>
        </is>
      </c>
      <c r="F697" s="20" t="inlineStr">
        <is>
          <t>Nut Butter</t>
        </is>
      </c>
      <c r="G697" s="22" t="n">
        <v>2134</v>
      </c>
      <c r="H697" s="23" t="n">
        <v>56.67</v>
      </c>
      <c r="I697" s="23" t="n">
        <v>120933.78</v>
      </c>
      <c r="J697" s="23" t="n">
        <v>84293</v>
      </c>
      <c r="K697">
        <f>IF(OR(COUNTIF($A$5:A697,A697)&gt;1,G697&lt;0,C697="",B697&lt;'Work 1'!$C$6,B697&gt;'Work 1'!$C$7,H697&gt;'Work 1'!$C$8*AVERAGEIF($F$5:$F$1014,F697,$H$5:$H$1014)),"Excl",IF(B697&gt;='Work 1'!$C$5,"LTM","Prior"))</f>
        <v/>
      </c>
      <c r="L697">
        <f>I697-J697</f>
        <v/>
      </c>
    </row>
    <row r="698" ht="14.25" customHeight="1" s="54">
      <c r="A698" s="20" t="inlineStr">
        <is>
          <t>BH-40691</t>
        </is>
      </c>
      <c r="B698" s="21" t="n">
        <v>45962</v>
      </c>
      <c r="C698" s="20" t="inlineStr">
        <is>
          <t>C08</t>
        </is>
      </c>
      <c r="D698" s="20" t="inlineStr">
        <is>
          <t>Online Marketplace</t>
        </is>
      </c>
      <c r="E698" s="20" t="inlineStr">
        <is>
          <t>Online</t>
        </is>
      </c>
      <c r="F698" s="20" t="inlineStr">
        <is>
          <t>Snack Bars</t>
        </is>
      </c>
      <c r="G698" s="22" t="n">
        <v>3511</v>
      </c>
      <c r="H698" s="23" t="n">
        <v>34.58</v>
      </c>
      <c r="I698" s="23" t="n">
        <v>121410.38</v>
      </c>
      <c r="J698" s="23" t="n">
        <v>71799.95</v>
      </c>
      <c r="K698">
        <f>IF(OR(COUNTIF($A$5:A698,A698)&gt;1,G698&lt;0,C698="",B698&lt;'Work 1'!$C$6,B698&gt;'Work 1'!$C$7,H698&gt;'Work 1'!$C$8*AVERAGEIF($F$5:$F$1014,F698,$H$5:$H$1014)),"Excl",IF(B698&gt;='Work 1'!$C$5,"LTM","Prior"))</f>
        <v/>
      </c>
      <c r="L698">
        <f>I698-J698</f>
        <v/>
      </c>
    </row>
    <row r="699" ht="14.25" customHeight="1" s="54">
      <c r="A699" s="20" t="inlineStr">
        <is>
          <t>BH-40692</t>
        </is>
      </c>
      <c r="B699" s="21" t="n">
        <v>45962</v>
      </c>
      <c r="C699" s="20" t="inlineStr">
        <is>
          <t>C09</t>
        </is>
      </c>
      <c r="D699" s="20" t="inlineStr">
        <is>
          <t>Maple Ridge Grocers</t>
        </is>
      </c>
      <c r="E699" s="20" t="inlineStr">
        <is>
          <t>Grocery</t>
        </is>
      </c>
      <c r="F699" s="20" t="inlineStr">
        <is>
          <t>Granola</t>
        </is>
      </c>
      <c r="G699" s="22" t="n">
        <v>1783</v>
      </c>
      <c r="H699" s="23" t="n">
        <v>43.05</v>
      </c>
      <c r="I699" s="23" t="n">
        <v>76758.14999999999</v>
      </c>
      <c r="J699" s="23" t="n">
        <v>48051.85</v>
      </c>
      <c r="K699">
        <f>IF(OR(COUNTIF($A$5:A699,A699)&gt;1,G699&lt;0,C699="",B699&lt;'Work 1'!$C$6,B699&gt;'Work 1'!$C$7,H699&gt;'Work 1'!$C$8*AVERAGEIF($F$5:$F$1014,F699,$H$5:$H$1014)),"Excl",IF(B699&gt;='Work 1'!$C$5,"LTM","Prior"))</f>
        <v/>
      </c>
      <c r="L699">
        <f>I699-J699</f>
        <v/>
      </c>
    </row>
    <row r="700" ht="14.25" customHeight="1" s="54">
      <c r="A700" s="20" t="inlineStr">
        <is>
          <t>BH-40693</t>
        </is>
      </c>
      <c r="B700" s="21" t="n">
        <v>45962</v>
      </c>
      <c r="C700" s="20" t="inlineStr">
        <is>
          <t>C09</t>
        </is>
      </c>
      <c r="D700" s="20" t="inlineStr">
        <is>
          <t>Maple Ridge Grocers</t>
        </is>
      </c>
      <c r="E700" s="20" t="inlineStr">
        <is>
          <t>Grocery</t>
        </is>
      </c>
      <c r="F700" s="20" t="inlineStr">
        <is>
          <t>Snack Bars</t>
        </is>
      </c>
      <c r="G700" s="22" t="n">
        <v>1461</v>
      </c>
      <c r="H700" s="23" t="n">
        <v>33.35</v>
      </c>
      <c r="I700" s="23" t="n">
        <v>48724.35</v>
      </c>
      <c r="J700" s="23" t="n">
        <v>29877.45</v>
      </c>
      <c r="K700">
        <f>IF(OR(COUNTIF($A$5:A700,A700)&gt;1,G700&lt;0,C700="",B700&lt;'Work 1'!$C$6,B700&gt;'Work 1'!$C$7,H700&gt;'Work 1'!$C$8*AVERAGEIF($F$5:$F$1014,F700,$H$5:$H$1014)),"Excl",IF(B700&gt;='Work 1'!$C$5,"LTM","Prior"))</f>
        <v/>
      </c>
      <c r="L700">
        <f>I700-J700</f>
        <v/>
      </c>
    </row>
    <row r="701" ht="14.25" customHeight="1" s="54">
      <c r="A701" s="20" t="inlineStr">
        <is>
          <t>BH-40694</t>
        </is>
      </c>
      <c r="B701" s="21" t="n">
        <v>45962</v>
      </c>
      <c r="C701" s="20" t="inlineStr">
        <is>
          <t>C10</t>
        </is>
      </c>
      <c r="D701" s="20" t="inlineStr">
        <is>
          <t>Lakeshore Foods</t>
        </is>
      </c>
      <c r="E701" s="20" t="inlineStr">
        <is>
          <t>Grocery</t>
        </is>
      </c>
      <c r="F701" s="20" t="inlineStr">
        <is>
          <t>Granola</t>
        </is>
      </c>
      <c r="G701" s="22" t="n">
        <v>1540</v>
      </c>
      <c r="H701" s="23" t="n">
        <v>43.05</v>
      </c>
      <c r="I701" s="23" t="n">
        <v>66297</v>
      </c>
      <c r="J701" s="23" t="n">
        <v>41503</v>
      </c>
      <c r="K701">
        <f>IF(OR(COUNTIF($A$5:A701,A701)&gt;1,G701&lt;0,C701="",B701&lt;'Work 1'!$C$6,B701&gt;'Work 1'!$C$7,H701&gt;'Work 1'!$C$8*AVERAGEIF($F$5:$F$1014,F701,$H$5:$H$1014)),"Excl",IF(B701&gt;='Work 1'!$C$5,"LTM","Prior"))</f>
        <v/>
      </c>
      <c r="L701">
        <f>I701-J701</f>
        <v/>
      </c>
    </row>
    <row r="702" ht="14.25" customHeight="1" s="54">
      <c r="A702" s="20" t="inlineStr">
        <is>
          <t>BH-40695</t>
        </is>
      </c>
      <c r="B702" s="21" t="n">
        <v>45962</v>
      </c>
      <c r="C702" s="20" t="inlineStr">
        <is>
          <t>C10</t>
        </is>
      </c>
      <c r="D702" s="20" t="inlineStr">
        <is>
          <t>Lakeshore Foods</t>
        </is>
      </c>
      <c r="E702" s="20" t="inlineStr">
        <is>
          <t>Grocery</t>
        </is>
      </c>
      <c r="F702" s="20" t="inlineStr">
        <is>
          <t>Nut Butter</t>
        </is>
      </c>
      <c r="G702" s="22" t="n">
        <v>640</v>
      </c>
      <c r="H702" s="23" t="n">
        <v>57.25</v>
      </c>
      <c r="I702" s="23" t="n">
        <v>36640</v>
      </c>
      <c r="J702" s="23" t="n">
        <v>25280</v>
      </c>
      <c r="K702">
        <f>IF(OR(COUNTIF($A$5:A702,A702)&gt;1,G702&lt;0,C702="",B702&lt;'Work 1'!$C$6,B702&gt;'Work 1'!$C$7,H702&gt;'Work 1'!$C$8*AVERAGEIF($F$5:$F$1014,F702,$H$5:$H$1014)),"Excl",IF(B702&gt;='Work 1'!$C$5,"LTM","Prior"))</f>
        <v/>
      </c>
      <c r="L702">
        <f>I702-J702</f>
        <v/>
      </c>
    </row>
    <row r="703" ht="14.25" customHeight="1" s="54">
      <c r="A703" s="20" t="inlineStr">
        <is>
          <t>BH-40696</t>
        </is>
      </c>
      <c r="B703" s="21" t="n">
        <v>45962</v>
      </c>
      <c r="C703" s="20" t="inlineStr">
        <is>
          <t>C11</t>
        </is>
      </c>
      <c r="D703" s="20" t="inlineStr">
        <is>
          <t>Copper Valley Market</t>
        </is>
      </c>
      <c r="E703" s="20" t="inlineStr">
        <is>
          <t>Grocery</t>
        </is>
      </c>
      <c r="F703" s="20" t="inlineStr">
        <is>
          <t>Granola</t>
        </is>
      </c>
      <c r="G703" s="22" t="n">
        <v>1318</v>
      </c>
      <c r="H703" s="23" t="n">
        <v>43.05</v>
      </c>
      <c r="I703" s="23" t="n">
        <v>56739.9</v>
      </c>
      <c r="J703" s="23" t="n">
        <v>35520.1</v>
      </c>
      <c r="K703">
        <f>IF(OR(COUNTIF($A$5:A703,A703)&gt;1,G703&lt;0,C703="",B703&lt;'Work 1'!$C$6,B703&gt;'Work 1'!$C$7,H703&gt;'Work 1'!$C$8*AVERAGEIF($F$5:$F$1014,F703,$H$5:$H$1014)),"Excl",IF(B703&gt;='Work 1'!$C$5,"LTM","Prior"))</f>
        <v/>
      </c>
      <c r="L703">
        <f>I703-J703</f>
        <v/>
      </c>
    </row>
    <row r="704" ht="14.25" customHeight="1" s="54">
      <c r="A704" s="20" t="inlineStr">
        <is>
          <t>BH-40697</t>
        </is>
      </c>
      <c r="B704" s="21" t="n">
        <v>45962</v>
      </c>
      <c r="C704" s="20" t="inlineStr">
        <is>
          <t>C11</t>
        </is>
      </c>
      <c r="D704" s="20" t="inlineStr">
        <is>
          <t>Copper Valley Market</t>
        </is>
      </c>
      <c r="E704" s="20" t="inlineStr">
        <is>
          <t>Grocery</t>
        </is>
      </c>
      <c r="F704" s="20" t="inlineStr">
        <is>
          <t>Snack Bars</t>
        </is>
      </c>
      <c r="G704" s="22" t="n">
        <v>1470</v>
      </c>
      <c r="H704" s="23" t="n">
        <v>33.35</v>
      </c>
      <c r="I704" s="23" t="n">
        <v>49024.5</v>
      </c>
      <c r="J704" s="23" t="n">
        <v>30061.5</v>
      </c>
      <c r="K704">
        <f>IF(OR(COUNTIF($A$5:A704,A704)&gt;1,G704&lt;0,C704="",B704&lt;'Work 1'!$C$6,B704&gt;'Work 1'!$C$7,H704&gt;'Work 1'!$C$8*AVERAGEIF($F$5:$F$1014,F704,$H$5:$H$1014)),"Excl",IF(B704&gt;='Work 1'!$C$5,"LTM","Prior"))</f>
        <v/>
      </c>
      <c r="L704">
        <f>I704-J704</f>
        <v/>
      </c>
    </row>
    <row r="705" ht="14.25" customHeight="1" s="54">
      <c r="A705" s="20" t="inlineStr">
        <is>
          <t>BH-40698</t>
        </is>
      </c>
      <c r="B705" s="21" t="n">
        <v>45962</v>
      </c>
      <c r="C705" s="20" t="inlineStr">
        <is>
          <t>C12</t>
        </is>
      </c>
      <c r="D705" s="20" t="inlineStr">
        <is>
          <t>Riverbend Grocery</t>
        </is>
      </c>
      <c r="E705" s="20" t="inlineStr">
        <is>
          <t>Grocery</t>
        </is>
      </c>
      <c r="F705" s="20" t="inlineStr">
        <is>
          <t>Granola</t>
        </is>
      </c>
      <c r="G705" s="22" t="n">
        <v>2038</v>
      </c>
      <c r="H705" s="23" t="n">
        <v>43.05</v>
      </c>
      <c r="I705" s="23" t="n">
        <v>87735.89999999999</v>
      </c>
      <c r="J705" s="23" t="n">
        <v>54924.1</v>
      </c>
      <c r="K705">
        <f>IF(OR(COUNTIF($A$5:A705,A705)&gt;1,G705&lt;0,C705="",B705&lt;'Work 1'!$C$6,B705&gt;'Work 1'!$C$7,H705&gt;'Work 1'!$C$8*AVERAGEIF($F$5:$F$1014,F705,$H$5:$H$1014)),"Excl",IF(B705&gt;='Work 1'!$C$5,"LTM","Prior"))</f>
        <v/>
      </c>
      <c r="L705">
        <f>I705-J705</f>
        <v/>
      </c>
    </row>
    <row r="706" ht="14.25" customHeight="1" s="54">
      <c r="A706" s="20" t="inlineStr">
        <is>
          <t>BH-40699</t>
        </is>
      </c>
      <c r="B706" s="21" t="n">
        <v>45962</v>
      </c>
      <c r="C706" s="20" t="inlineStr">
        <is>
          <t>C12</t>
        </is>
      </c>
      <c r="D706" s="20" t="inlineStr">
        <is>
          <t>Riverbend Grocery</t>
        </is>
      </c>
      <c r="E706" s="20" t="inlineStr">
        <is>
          <t>Grocery</t>
        </is>
      </c>
      <c r="F706" s="20" t="inlineStr">
        <is>
          <t>Nut Butter</t>
        </is>
      </c>
      <c r="G706" s="22" t="n">
        <v>843</v>
      </c>
      <c r="H706" s="23" t="n">
        <v>57.25</v>
      </c>
      <c r="I706" s="23" t="n">
        <v>48261.75</v>
      </c>
      <c r="J706" s="23" t="n">
        <v>33298.5</v>
      </c>
      <c r="K706">
        <f>IF(OR(COUNTIF($A$5:A706,A706)&gt;1,G706&lt;0,C706="",B706&lt;'Work 1'!$C$6,B706&gt;'Work 1'!$C$7,H706&gt;'Work 1'!$C$8*AVERAGEIF($F$5:$F$1014,F706,$H$5:$H$1014)),"Excl",IF(B706&gt;='Work 1'!$C$5,"LTM","Prior"))</f>
        <v/>
      </c>
      <c r="L706">
        <f>I706-J706</f>
        <v/>
      </c>
    </row>
    <row r="707" ht="14.25" customHeight="1" s="54">
      <c r="A707" s="20" t="inlineStr">
        <is>
          <t>BH-40700</t>
        </is>
      </c>
      <c r="B707" s="21" t="n">
        <v>45962</v>
      </c>
      <c r="C707" s="20" t="inlineStr">
        <is>
          <t>C13</t>
        </is>
      </c>
      <c r="D707" s="20" t="inlineStr">
        <is>
          <t>Sunfield Markets</t>
        </is>
      </c>
      <c r="E707" s="20" t="inlineStr">
        <is>
          <t>Grocery</t>
        </is>
      </c>
      <c r="F707" s="20" t="inlineStr">
        <is>
          <t>Granola</t>
        </is>
      </c>
      <c r="G707" s="22" t="n">
        <v>1152</v>
      </c>
      <c r="H707" s="23" t="n">
        <v>43.05</v>
      </c>
      <c r="I707" s="23" t="n">
        <v>49593.6</v>
      </c>
      <c r="J707" s="23" t="n">
        <v>31046.4</v>
      </c>
      <c r="K707">
        <f>IF(OR(COUNTIF($A$5:A707,A707)&gt;1,G707&lt;0,C707="",B707&lt;'Work 1'!$C$6,B707&gt;'Work 1'!$C$7,H707&gt;'Work 1'!$C$8*AVERAGEIF($F$5:$F$1014,F707,$H$5:$H$1014)),"Excl",IF(B707&gt;='Work 1'!$C$5,"LTM","Prior"))</f>
        <v/>
      </c>
      <c r="L707">
        <f>I707-J707</f>
        <v/>
      </c>
    </row>
    <row r="708" ht="14.25" customHeight="1" s="54">
      <c r="A708" s="20" t="inlineStr">
        <is>
          <t>BH-40701</t>
        </is>
      </c>
      <c r="B708" s="21" t="n">
        <v>45962</v>
      </c>
      <c r="C708" s="20" t="inlineStr">
        <is>
          <t>C13</t>
        </is>
      </c>
      <c r="D708" s="20" t="inlineStr">
        <is>
          <t>Sunfield Markets</t>
        </is>
      </c>
      <c r="E708" s="20" t="inlineStr">
        <is>
          <t>Grocery</t>
        </is>
      </c>
      <c r="F708" s="20" t="inlineStr">
        <is>
          <t>Snack Bars</t>
        </is>
      </c>
      <c r="G708" s="22" t="n">
        <v>1211</v>
      </c>
      <c r="H708" s="23" t="n">
        <v>33.35</v>
      </c>
      <c r="I708" s="23" t="n">
        <v>40386.85</v>
      </c>
      <c r="J708" s="23" t="n">
        <v>24764.95</v>
      </c>
      <c r="K708">
        <f>IF(OR(COUNTIF($A$5:A708,A708)&gt;1,G708&lt;0,C708="",B708&lt;'Work 1'!$C$6,B708&gt;'Work 1'!$C$7,H708&gt;'Work 1'!$C$8*AVERAGEIF($F$5:$F$1014,F708,$H$5:$H$1014)),"Excl",IF(B708&gt;='Work 1'!$C$5,"LTM","Prior"))</f>
        <v/>
      </c>
      <c r="L708">
        <f>I708-J708</f>
        <v/>
      </c>
    </row>
    <row r="709" ht="14.25" customHeight="1" s="54">
      <c r="A709" s="20" t="inlineStr">
        <is>
          <t>BH-40702</t>
        </is>
      </c>
      <c r="B709" s="21" t="n">
        <v>45962</v>
      </c>
      <c r="C709" s="20" t="inlineStr">
        <is>
          <t>C14</t>
        </is>
      </c>
      <c r="D709" s="20" t="inlineStr">
        <is>
          <t>Oak Hollow Foods</t>
        </is>
      </c>
      <c r="E709" s="20" t="inlineStr">
        <is>
          <t>Grocery</t>
        </is>
      </c>
      <c r="F709" s="20" t="inlineStr">
        <is>
          <t>Granola</t>
        </is>
      </c>
      <c r="G709" s="22" t="n">
        <v>1266</v>
      </c>
      <c r="H709" s="23" t="n">
        <v>43.05</v>
      </c>
      <c r="I709" s="23" t="n">
        <v>54501.3</v>
      </c>
      <c r="J709" s="23" t="n">
        <v>34118.7</v>
      </c>
      <c r="K709">
        <f>IF(OR(COUNTIF($A$5:A709,A709)&gt;1,G709&lt;0,C709="",B709&lt;'Work 1'!$C$6,B709&gt;'Work 1'!$C$7,H709&gt;'Work 1'!$C$8*AVERAGEIF($F$5:$F$1014,F709,$H$5:$H$1014)),"Excl",IF(B709&gt;='Work 1'!$C$5,"LTM","Prior"))</f>
        <v/>
      </c>
      <c r="L709">
        <f>I709-J709</f>
        <v/>
      </c>
    </row>
    <row r="710" ht="14.25" customHeight="1" s="54">
      <c r="A710" s="20" t="inlineStr">
        <is>
          <t>BH-40703</t>
        </is>
      </c>
      <c r="B710" s="21" t="n">
        <v>45962</v>
      </c>
      <c r="C710" s="20" t="inlineStr">
        <is>
          <t>C14</t>
        </is>
      </c>
      <c r="D710" s="20" t="inlineStr">
        <is>
          <t>Oak Hollow Foods</t>
        </is>
      </c>
      <c r="E710" s="20" t="inlineStr">
        <is>
          <t>Grocery</t>
        </is>
      </c>
      <c r="F710" s="20" t="inlineStr">
        <is>
          <t>Nut Butter</t>
        </is>
      </c>
      <c r="G710" s="22" t="n">
        <v>466</v>
      </c>
      <c r="H710" s="23" t="n">
        <v>57.25</v>
      </c>
      <c r="I710" s="23" t="n">
        <v>26678.5</v>
      </c>
      <c r="J710" s="23" t="n">
        <v>18407</v>
      </c>
      <c r="K710">
        <f>IF(OR(COUNTIF($A$5:A710,A710)&gt;1,G710&lt;0,C710="",B710&lt;'Work 1'!$C$6,B710&gt;'Work 1'!$C$7,H710&gt;'Work 1'!$C$8*AVERAGEIF($F$5:$F$1014,F710,$H$5:$H$1014)),"Excl",IF(B710&gt;='Work 1'!$C$5,"LTM","Prior"))</f>
        <v/>
      </c>
      <c r="L710">
        <f>I710-J710</f>
        <v/>
      </c>
    </row>
    <row r="711" ht="14.25" customHeight="1" s="54">
      <c r="A711" s="20" t="inlineStr">
        <is>
          <t>BH-40704</t>
        </is>
      </c>
      <c r="B711" s="21" t="n">
        <v>45962</v>
      </c>
      <c r="C711" s="20" t="inlineStr">
        <is>
          <t>C14</t>
        </is>
      </c>
      <c r="D711" s="20" t="inlineStr">
        <is>
          <t>Oak Hollow Foods</t>
        </is>
      </c>
      <c r="E711" s="20" t="inlineStr">
        <is>
          <t>Grocery</t>
        </is>
      </c>
      <c r="F711" s="20" t="inlineStr">
        <is>
          <t>Snack Bars</t>
        </is>
      </c>
      <c r="G711" s="22" t="n">
        <v>788</v>
      </c>
      <c r="H711" s="23" t="n">
        <v>33.35</v>
      </c>
      <c r="I711" s="23" t="n">
        <v>26279.8</v>
      </c>
      <c r="J711" s="23" t="n">
        <v>16114.6</v>
      </c>
      <c r="K711">
        <f>IF(OR(COUNTIF($A$5:A711,A711)&gt;1,G711&lt;0,C711="",B711&lt;'Work 1'!$C$6,B711&gt;'Work 1'!$C$7,H711&gt;'Work 1'!$C$8*AVERAGEIF($F$5:$F$1014,F711,$H$5:$H$1014)),"Excl",IF(B711&gt;='Work 1'!$C$5,"LTM","Prior"))</f>
        <v/>
      </c>
      <c r="L711">
        <f>I711-J711</f>
        <v/>
      </c>
    </row>
    <row r="712" ht="14.25" customHeight="1" s="54">
      <c r="A712" s="20" t="inlineStr">
        <is>
          <t>BH-40705</t>
        </is>
      </c>
      <c r="B712" s="21" t="n">
        <v>45962</v>
      </c>
      <c r="C712" s="20" t="inlineStr">
        <is>
          <t>C15</t>
        </is>
      </c>
      <c r="D712" s="20" t="inlineStr">
        <is>
          <t>Prairie Fresh</t>
        </is>
      </c>
      <c r="E712" s="20" t="inlineStr">
        <is>
          <t>Grocery</t>
        </is>
      </c>
      <c r="F712" s="20" t="inlineStr">
        <is>
          <t>Granola</t>
        </is>
      </c>
      <c r="G712" s="22" t="n">
        <v>1565</v>
      </c>
      <c r="H712" s="23" t="n">
        <v>43.05</v>
      </c>
      <c r="I712" s="23" t="n">
        <v>67373.25</v>
      </c>
      <c r="J712" s="23" t="n">
        <v>42176.75</v>
      </c>
      <c r="K712">
        <f>IF(OR(COUNTIF($A$5:A712,A712)&gt;1,G712&lt;0,C712="",B712&lt;'Work 1'!$C$6,B712&gt;'Work 1'!$C$7,H712&gt;'Work 1'!$C$8*AVERAGEIF($F$5:$F$1014,F712,$H$5:$H$1014)),"Excl",IF(B712&gt;='Work 1'!$C$5,"LTM","Prior"))</f>
        <v/>
      </c>
      <c r="L712">
        <f>I712-J712</f>
        <v/>
      </c>
    </row>
    <row r="713" ht="14.25" customHeight="1" s="54">
      <c r="A713" s="20" t="inlineStr">
        <is>
          <t>BH-40706</t>
        </is>
      </c>
      <c r="B713" s="21" t="n">
        <v>45962</v>
      </c>
      <c r="C713" s="20" t="inlineStr">
        <is>
          <t>C15</t>
        </is>
      </c>
      <c r="D713" s="20" t="inlineStr">
        <is>
          <t>Prairie Fresh</t>
        </is>
      </c>
      <c r="E713" s="20" t="inlineStr">
        <is>
          <t>Grocery</t>
        </is>
      </c>
      <c r="F713" s="20" t="inlineStr">
        <is>
          <t>Snack Bars</t>
        </is>
      </c>
      <c r="G713" s="22" t="n">
        <v>1162</v>
      </c>
      <c r="H713" s="23" t="n">
        <v>33.35</v>
      </c>
      <c r="I713" s="23" t="n">
        <v>38752.7</v>
      </c>
      <c r="J713" s="23" t="n">
        <v>23762.9</v>
      </c>
      <c r="K713">
        <f>IF(OR(COUNTIF($A$5:A713,A713)&gt;1,G713&lt;0,C713="",B713&lt;'Work 1'!$C$6,B713&gt;'Work 1'!$C$7,H713&gt;'Work 1'!$C$8*AVERAGEIF($F$5:$F$1014,F713,$H$5:$H$1014)),"Excl",IF(B713&gt;='Work 1'!$C$5,"LTM","Prior"))</f>
        <v/>
      </c>
      <c r="L713">
        <f>I713-J713</f>
        <v/>
      </c>
    </row>
    <row r="714" ht="14.25" customHeight="1" s="54">
      <c r="A714" s="20" t="inlineStr">
        <is>
          <t>BH-40707</t>
        </is>
      </c>
      <c r="B714" s="21" t="n">
        <v>45962</v>
      </c>
      <c r="C714" s="20" t="inlineStr">
        <is>
          <t>C16</t>
        </is>
      </c>
      <c r="D714" s="20" t="inlineStr">
        <is>
          <t>Bay Street Market</t>
        </is>
      </c>
      <c r="E714" s="20" t="inlineStr">
        <is>
          <t>Grocery</t>
        </is>
      </c>
      <c r="F714" s="20" t="inlineStr">
        <is>
          <t>Granola</t>
        </is>
      </c>
      <c r="G714" s="22" t="n">
        <v>1103</v>
      </c>
      <c r="H714" s="23" t="n">
        <v>43.05</v>
      </c>
      <c r="I714" s="23" t="n">
        <v>47484.15</v>
      </c>
      <c r="J714" s="23" t="n">
        <v>29725.85</v>
      </c>
      <c r="K714">
        <f>IF(OR(COUNTIF($A$5:A714,A714)&gt;1,G714&lt;0,C714="",B714&lt;'Work 1'!$C$6,B714&gt;'Work 1'!$C$7,H714&gt;'Work 1'!$C$8*AVERAGEIF($F$5:$F$1014,F714,$H$5:$H$1014)),"Excl",IF(B714&gt;='Work 1'!$C$5,"LTM","Prior"))</f>
        <v/>
      </c>
      <c r="L714">
        <f>I714-J714</f>
        <v/>
      </c>
    </row>
    <row r="715" ht="14.25" customHeight="1" s="54">
      <c r="A715" s="20" t="inlineStr">
        <is>
          <t>BH-40708</t>
        </is>
      </c>
      <c r="B715" s="21" t="n">
        <v>45962</v>
      </c>
      <c r="C715" s="20" t="inlineStr">
        <is>
          <t>C16</t>
        </is>
      </c>
      <c r="D715" s="20" t="inlineStr">
        <is>
          <t>Bay Street Market</t>
        </is>
      </c>
      <c r="E715" s="20" t="inlineStr">
        <is>
          <t>Grocery</t>
        </is>
      </c>
      <c r="F715" s="20" t="inlineStr">
        <is>
          <t>Nut Butter</t>
        </is>
      </c>
      <c r="G715" s="22" t="n">
        <v>669</v>
      </c>
      <c r="H715" s="23" t="n">
        <v>57.25</v>
      </c>
      <c r="I715" s="23" t="n">
        <v>38300.25</v>
      </c>
      <c r="J715" s="23" t="n">
        <v>26425.5</v>
      </c>
      <c r="K715">
        <f>IF(OR(COUNTIF($A$5:A715,A715)&gt;1,G715&lt;0,C715="",B715&lt;'Work 1'!$C$6,B715&gt;'Work 1'!$C$7,H715&gt;'Work 1'!$C$8*AVERAGEIF($F$5:$F$1014,F715,$H$5:$H$1014)),"Excl",IF(B715&gt;='Work 1'!$C$5,"LTM","Prior"))</f>
        <v/>
      </c>
      <c r="L715">
        <f>I715-J715</f>
        <v/>
      </c>
    </row>
    <row r="716" ht="14.25" customHeight="1" s="54">
      <c r="A716" s="20" t="inlineStr">
        <is>
          <t>BH-40709</t>
        </is>
      </c>
      <c r="B716" s="21" t="n">
        <v>45962</v>
      </c>
      <c r="C716" s="20" t="inlineStr">
        <is>
          <t>C19</t>
        </is>
      </c>
      <c r="D716" s="20" t="inlineStr">
        <is>
          <t>Greenway Markets</t>
        </is>
      </c>
      <c r="E716" s="20" t="inlineStr">
        <is>
          <t>Grocery</t>
        </is>
      </c>
      <c r="F716" s="20" t="inlineStr">
        <is>
          <t>Granola</t>
        </is>
      </c>
      <c r="G716" s="22" t="n">
        <v>1783</v>
      </c>
      <c r="H716" s="23" t="n">
        <v>43.05</v>
      </c>
      <c r="I716" s="23" t="n">
        <v>76758.14999999999</v>
      </c>
      <c r="J716" s="23" t="n">
        <v>48051.85</v>
      </c>
      <c r="K716">
        <f>IF(OR(COUNTIF($A$5:A716,A716)&gt;1,G716&lt;0,C716="",B716&lt;'Work 1'!$C$6,B716&gt;'Work 1'!$C$7,H716&gt;'Work 1'!$C$8*AVERAGEIF($F$5:$F$1014,F716,$H$5:$H$1014)),"Excl",IF(B716&gt;='Work 1'!$C$5,"LTM","Prior"))</f>
        <v/>
      </c>
      <c r="L716">
        <f>I716-J716</f>
        <v/>
      </c>
    </row>
    <row r="717" ht="14.25" customHeight="1" s="54">
      <c r="A717" s="20" t="inlineStr">
        <is>
          <t>BH-40710</t>
        </is>
      </c>
      <c r="B717" s="21" t="n">
        <v>45962</v>
      </c>
      <c r="C717" s="20" t="inlineStr">
        <is>
          <t>C19</t>
        </is>
      </c>
      <c r="D717" s="20" t="inlineStr">
        <is>
          <t>Greenway Markets</t>
        </is>
      </c>
      <c r="E717" s="20" t="inlineStr">
        <is>
          <t>Grocery</t>
        </is>
      </c>
      <c r="F717" s="20" t="inlineStr">
        <is>
          <t>Nut Butter</t>
        </is>
      </c>
      <c r="G717" s="22" t="n">
        <v>795</v>
      </c>
      <c r="H717" s="23" t="n">
        <v>57.25</v>
      </c>
      <c r="I717" s="23" t="n">
        <v>45513.75</v>
      </c>
      <c r="J717" s="23" t="n">
        <v>31402.5</v>
      </c>
      <c r="K717">
        <f>IF(OR(COUNTIF($A$5:A717,A717)&gt;1,G717&lt;0,C717="",B717&lt;'Work 1'!$C$6,B717&gt;'Work 1'!$C$7,H717&gt;'Work 1'!$C$8*AVERAGEIF($F$5:$F$1014,F717,$H$5:$H$1014)),"Excl",IF(B717&gt;='Work 1'!$C$5,"LTM","Prior"))</f>
        <v/>
      </c>
      <c r="L717">
        <f>I717-J717</f>
        <v/>
      </c>
    </row>
    <row r="718" ht="14.25" customHeight="1" s="54">
      <c r="A718" s="20" t="inlineStr">
        <is>
          <t>BH-40711</t>
        </is>
      </c>
      <c r="B718" s="21" t="n">
        <v>45962</v>
      </c>
      <c r="C718" s="20" t="inlineStr">
        <is>
          <t>C19</t>
        </is>
      </c>
      <c r="D718" s="20" t="inlineStr">
        <is>
          <t>Greenway Markets</t>
        </is>
      </c>
      <c r="E718" s="20" t="inlineStr">
        <is>
          <t>Grocery</t>
        </is>
      </c>
      <c r="F718" s="20" t="inlineStr">
        <is>
          <t>Snack Bars</t>
        </is>
      </c>
      <c r="G718" s="22" t="n">
        <v>860</v>
      </c>
      <c r="H718" s="23" t="n">
        <v>33.35</v>
      </c>
      <c r="I718" s="23" t="n">
        <v>28681</v>
      </c>
      <c r="J718" s="23" t="n">
        <v>17587</v>
      </c>
      <c r="K718">
        <f>IF(OR(COUNTIF($A$5:A718,A718)&gt;1,G718&lt;0,C718="",B718&lt;'Work 1'!$C$6,B718&gt;'Work 1'!$C$7,H718&gt;'Work 1'!$C$8*AVERAGEIF($F$5:$F$1014,F718,$H$5:$H$1014)),"Excl",IF(B718&gt;='Work 1'!$C$5,"LTM","Prior"))</f>
        <v/>
      </c>
      <c r="L718">
        <f>I718-J718</f>
        <v/>
      </c>
    </row>
    <row r="719" ht="14.25" customHeight="1" s="54">
      <c r="A719" s="20" t="inlineStr">
        <is>
          <t>BH-40712</t>
        </is>
      </c>
      <c r="B719" s="21" t="n">
        <v>45992</v>
      </c>
      <c r="C719" s="20" t="inlineStr">
        <is>
          <t>C01</t>
        </is>
      </c>
      <c r="D719" s="20" t="inlineStr">
        <is>
          <t>Northfield Markets</t>
        </is>
      </c>
      <c r="E719" s="20" t="inlineStr">
        <is>
          <t>Grocery</t>
        </is>
      </c>
      <c r="F719" s="20" t="inlineStr">
        <is>
          <t>Granola</t>
        </is>
      </c>
      <c r="G719" s="22" t="n">
        <v>16809</v>
      </c>
      <c r="H719" s="23" t="n">
        <v>39.61</v>
      </c>
      <c r="I719" s="23" t="n">
        <v>665804.49</v>
      </c>
      <c r="J719" s="23" t="n">
        <v>453002.55</v>
      </c>
      <c r="K719">
        <f>IF(OR(COUNTIF($A$5:A719,A719)&gt;1,G719&lt;0,C719="",B719&lt;'Work 1'!$C$6,B719&gt;'Work 1'!$C$7,H719&gt;'Work 1'!$C$8*AVERAGEIF($F$5:$F$1014,F719,$H$5:$H$1014)),"Excl",IF(B719&gt;='Work 1'!$C$5,"LTM","Prior"))</f>
        <v/>
      </c>
      <c r="L719">
        <f>I719-J719</f>
        <v/>
      </c>
    </row>
    <row r="720" ht="14.25" customHeight="1" s="54">
      <c r="A720" s="20" t="inlineStr">
        <is>
          <t>BH-40713</t>
        </is>
      </c>
      <c r="B720" s="21" t="n">
        <v>45992</v>
      </c>
      <c r="C720" s="20" t="inlineStr">
        <is>
          <t>C01</t>
        </is>
      </c>
      <c r="D720" s="20" t="inlineStr">
        <is>
          <t>Northfield Markets</t>
        </is>
      </c>
      <c r="E720" s="20" t="inlineStr">
        <is>
          <t>Grocery</t>
        </is>
      </c>
      <c r="F720" s="20" t="inlineStr">
        <is>
          <t>Nut Butter</t>
        </is>
      </c>
      <c r="G720" s="22" t="n">
        <v>8908</v>
      </c>
      <c r="H720" s="23" t="n">
        <v>52.67</v>
      </c>
      <c r="I720" s="23" t="n">
        <v>469184.36</v>
      </c>
      <c r="J720" s="23" t="n">
        <v>351866</v>
      </c>
      <c r="K720">
        <f>IF(OR(COUNTIF($A$5:A720,A720)&gt;1,G720&lt;0,C720="",B720&lt;'Work 1'!$C$6,B720&gt;'Work 1'!$C$7,H720&gt;'Work 1'!$C$8*AVERAGEIF($F$5:$F$1014,F720,$H$5:$H$1014)),"Excl",IF(B720&gt;='Work 1'!$C$5,"LTM","Prior"))</f>
        <v/>
      </c>
      <c r="L720">
        <f>I720-J720</f>
        <v/>
      </c>
    </row>
    <row r="721" ht="14.25" customHeight="1" s="54">
      <c r="A721" s="20" t="inlineStr">
        <is>
          <t>BH-40714</t>
        </is>
      </c>
      <c r="B721" s="21" t="n">
        <v>45992</v>
      </c>
      <c r="C721" s="20" t="inlineStr">
        <is>
          <t>C01</t>
        </is>
      </c>
      <c r="D721" s="20" t="inlineStr">
        <is>
          <t>Northfield Markets</t>
        </is>
      </c>
      <c r="E721" s="20" t="inlineStr">
        <is>
          <t>Grocery</t>
        </is>
      </c>
      <c r="F721" s="20" t="inlineStr">
        <is>
          <t>Snack Bars</t>
        </is>
      </c>
      <c r="G721" s="22" t="n">
        <v>12367</v>
      </c>
      <c r="H721" s="23" t="n">
        <v>30.68</v>
      </c>
      <c r="I721" s="23" t="n">
        <v>379419.56</v>
      </c>
      <c r="J721" s="23" t="n">
        <v>252905.15</v>
      </c>
      <c r="K721">
        <f>IF(OR(COUNTIF($A$5:A721,A721)&gt;1,G721&lt;0,C721="",B721&lt;'Work 1'!$C$6,B721&gt;'Work 1'!$C$7,H721&gt;'Work 1'!$C$8*AVERAGEIF($F$5:$F$1014,F721,$H$5:$H$1014)),"Excl",IF(B721&gt;='Work 1'!$C$5,"LTM","Prior"))</f>
        <v/>
      </c>
      <c r="L721">
        <f>I721-J721</f>
        <v/>
      </c>
    </row>
    <row r="722" ht="14.25" customHeight="1" s="54">
      <c r="A722" s="20" t="inlineStr">
        <is>
          <t>BH-40715</t>
        </is>
      </c>
      <c r="B722" s="21" t="n">
        <v>45992</v>
      </c>
      <c r="C722" s="20" t="inlineStr">
        <is>
          <t>C02</t>
        </is>
      </c>
      <c r="D722" s="20" t="inlineStr">
        <is>
          <t>Crestline Grocers</t>
        </is>
      </c>
      <c r="E722" s="20" t="inlineStr">
        <is>
          <t>Grocery</t>
        </is>
      </c>
      <c r="F722" s="20" t="inlineStr">
        <is>
          <t>Granola</t>
        </is>
      </c>
      <c r="G722" s="22" t="n">
        <v>4378</v>
      </c>
      <c r="H722" s="23" t="n">
        <v>41.76</v>
      </c>
      <c r="I722" s="23" t="n">
        <v>182825.28</v>
      </c>
      <c r="J722" s="23" t="n">
        <v>117987.1</v>
      </c>
      <c r="K722">
        <f>IF(OR(COUNTIF($A$5:A722,A722)&gt;1,G722&lt;0,C722="",B722&lt;'Work 1'!$C$6,B722&gt;'Work 1'!$C$7,H722&gt;'Work 1'!$C$8*AVERAGEIF($F$5:$F$1014,F722,$H$5:$H$1014)),"Excl",IF(B722&gt;='Work 1'!$C$5,"LTM","Prior"))</f>
        <v/>
      </c>
      <c r="L722">
        <f>I722-J722</f>
        <v/>
      </c>
    </row>
    <row r="723" ht="14.25" customHeight="1" s="54">
      <c r="A723" s="20" t="inlineStr">
        <is>
          <t>BH-40716</t>
        </is>
      </c>
      <c r="B723" s="21" t="n">
        <v>45992</v>
      </c>
      <c r="C723" s="20" t="inlineStr">
        <is>
          <t>C02</t>
        </is>
      </c>
      <c r="D723" s="20" t="inlineStr">
        <is>
          <t>Crestline Grocers</t>
        </is>
      </c>
      <c r="E723" s="20" t="inlineStr">
        <is>
          <t>Grocery</t>
        </is>
      </c>
      <c r="F723" s="20" t="inlineStr">
        <is>
          <t>Nut Butter</t>
        </is>
      </c>
      <c r="G723" s="22" t="n">
        <v>2184</v>
      </c>
      <c r="H723" s="23" t="n">
        <v>55.53</v>
      </c>
      <c r="I723" s="23" t="n">
        <v>121277.52</v>
      </c>
      <c r="J723" s="23" t="n">
        <v>86268</v>
      </c>
      <c r="K723">
        <f>IF(OR(COUNTIF($A$5:A723,A723)&gt;1,G723&lt;0,C723="",B723&lt;'Work 1'!$C$6,B723&gt;'Work 1'!$C$7,H723&gt;'Work 1'!$C$8*AVERAGEIF($F$5:$F$1014,F723,$H$5:$H$1014)),"Excl",IF(B723&gt;='Work 1'!$C$5,"LTM","Prior"))</f>
        <v/>
      </c>
      <c r="L723">
        <f>I723-J723</f>
        <v/>
      </c>
    </row>
    <row r="724" ht="14.25" customHeight="1" s="54">
      <c r="A724" s="20" t="inlineStr">
        <is>
          <t>BH-40717</t>
        </is>
      </c>
      <c r="B724" s="21" t="n">
        <v>45992</v>
      </c>
      <c r="C724" s="20" t="inlineStr">
        <is>
          <t>C02</t>
        </is>
      </c>
      <c r="D724" s="20" t="inlineStr">
        <is>
          <t>Crestline Grocers</t>
        </is>
      </c>
      <c r="E724" s="20" t="inlineStr">
        <is>
          <t>Grocery</t>
        </is>
      </c>
      <c r="F724" s="20" t="inlineStr">
        <is>
          <t>Snack Bars</t>
        </is>
      </c>
      <c r="G724" s="22" t="n">
        <v>3771</v>
      </c>
      <c r="H724" s="23" t="n">
        <v>32.35</v>
      </c>
      <c r="I724" s="23" t="n">
        <v>121991.85</v>
      </c>
      <c r="J724" s="23" t="n">
        <v>77116.95</v>
      </c>
      <c r="K724">
        <f>IF(OR(COUNTIF($A$5:A724,A724)&gt;1,G724&lt;0,C724="",B724&lt;'Work 1'!$C$6,B724&gt;'Work 1'!$C$7,H724&gt;'Work 1'!$C$8*AVERAGEIF($F$5:$F$1014,F724,$H$5:$H$1014)),"Excl",IF(B724&gt;='Work 1'!$C$5,"LTM","Prior"))</f>
        <v/>
      </c>
      <c r="L724">
        <f>I724-J724</f>
        <v/>
      </c>
    </row>
    <row r="725" ht="14.25" customHeight="1" s="54">
      <c r="A725" s="20" t="inlineStr">
        <is>
          <t>BH-40718</t>
        </is>
      </c>
      <c r="B725" s="21" t="n">
        <v>45992</v>
      </c>
      <c r="C725" s="20" t="inlineStr">
        <is>
          <t>C03</t>
        </is>
      </c>
      <c r="D725" s="20" t="inlineStr">
        <is>
          <t>ValuClub Warehouse</t>
        </is>
      </c>
      <c r="E725" s="20" t="inlineStr">
        <is>
          <t>Club</t>
        </is>
      </c>
      <c r="F725" s="20" t="inlineStr">
        <is>
          <t>Granola</t>
        </is>
      </c>
      <c r="G725" s="22" t="n">
        <v>14306</v>
      </c>
      <c r="H725" s="23" t="n">
        <v>36.6</v>
      </c>
      <c r="I725" s="23" t="n">
        <v>523599.6</v>
      </c>
      <c r="J725" s="23" t="n">
        <v>385546.7</v>
      </c>
      <c r="K725">
        <f>IF(OR(COUNTIF($A$5:A725,A725)&gt;1,G725&lt;0,C725="",B725&lt;'Work 1'!$C$6,B725&gt;'Work 1'!$C$7,H725&gt;'Work 1'!$C$8*AVERAGEIF($F$5:$F$1014,F725,$H$5:$H$1014)),"Excl",IF(B725&gt;='Work 1'!$C$5,"LTM","Prior"))</f>
        <v/>
      </c>
      <c r="L725">
        <f>I725-J725</f>
        <v/>
      </c>
    </row>
    <row r="726" ht="14.25" customHeight="1" s="54">
      <c r="A726" s="20" t="inlineStr">
        <is>
          <t>BH-40719</t>
        </is>
      </c>
      <c r="B726" s="21" t="n">
        <v>45992</v>
      </c>
      <c r="C726" s="20" t="inlineStr">
        <is>
          <t>C03</t>
        </is>
      </c>
      <c r="D726" s="20" t="inlineStr">
        <is>
          <t>ValuClub Warehouse</t>
        </is>
      </c>
      <c r="E726" s="20" t="inlineStr">
        <is>
          <t>Club</t>
        </is>
      </c>
      <c r="F726" s="20" t="inlineStr">
        <is>
          <t>Snack Bars</t>
        </is>
      </c>
      <c r="G726" s="22" t="n">
        <v>15900</v>
      </c>
      <c r="H726" s="23" t="n">
        <v>25.35</v>
      </c>
      <c r="I726" s="23" t="n">
        <v>403065</v>
      </c>
      <c r="J726" s="23" t="n">
        <v>325155</v>
      </c>
      <c r="K726">
        <f>IF(OR(COUNTIF($A$5:A726,A726)&gt;1,G726&lt;0,C726="",B726&lt;'Work 1'!$C$6,B726&gt;'Work 1'!$C$7,H726&gt;'Work 1'!$C$8*AVERAGEIF($F$5:$F$1014,F726,$H$5:$H$1014)),"Excl",IF(B726&gt;='Work 1'!$C$5,"LTM","Prior"))</f>
        <v/>
      </c>
      <c r="L726">
        <f>I726-J726</f>
        <v/>
      </c>
    </row>
    <row r="727" ht="14.25" customHeight="1" s="54">
      <c r="A727" s="20" t="inlineStr">
        <is>
          <t>BH-40720</t>
        </is>
      </c>
      <c r="B727" s="21" t="n">
        <v>45992</v>
      </c>
      <c r="C727" s="20" t="inlineStr">
        <is>
          <t>C04</t>
        </is>
      </c>
      <c r="D727" s="20" t="inlineStr">
        <is>
          <t>Harvest Lane Co-op</t>
        </is>
      </c>
      <c r="E727" s="20" t="inlineStr">
        <is>
          <t>Grocery</t>
        </is>
      </c>
      <c r="F727" s="20" t="inlineStr">
        <is>
          <t>Granola</t>
        </is>
      </c>
      <c r="G727" s="22" t="n">
        <v>3180</v>
      </c>
      <c r="H727" s="23" t="n">
        <v>43.05</v>
      </c>
      <c r="I727" s="23" t="n">
        <v>136899</v>
      </c>
      <c r="J727" s="23" t="n">
        <v>85701</v>
      </c>
      <c r="K727">
        <f>IF(OR(COUNTIF($A$5:A727,A727)&gt;1,G727&lt;0,C727="",B727&lt;'Work 1'!$C$6,B727&gt;'Work 1'!$C$7,H727&gt;'Work 1'!$C$8*AVERAGEIF($F$5:$F$1014,F727,$H$5:$H$1014)),"Excl",IF(B727&gt;='Work 1'!$C$5,"LTM","Prior"))</f>
        <v/>
      </c>
      <c r="L727">
        <f>I727-J727</f>
        <v/>
      </c>
    </row>
    <row r="728" ht="14.25" customHeight="1" s="54">
      <c r="A728" s="20" t="inlineStr">
        <is>
          <t>BH-40721</t>
        </is>
      </c>
      <c r="B728" s="21" t="n">
        <v>45992</v>
      </c>
      <c r="C728" s="20" t="inlineStr">
        <is>
          <t>C04</t>
        </is>
      </c>
      <c r="D728" s="20" t="inlineStr">
        <is>
          <t>Harvest Lane Co-op</t>
        </is>
      </c>
      <c r="E728" s="20" t="inlineStr">
        <is>
          <t>Grocery</t>
        </is>
      </c>
      <c r="F728" s="20" t="inlineStr">
        <is>
          <t>Nut Butter</t>
        </is>
      </c>
      <c r="G728" s="22" t="n">
        <v>1676</v>
      </c>
      <c r="H728" s="23" t="n">
        <v>57.25</v>
      </c>
      <c r="I728" s="23" t="n">
        <v>95951</v>
      </c>
      <c r="J728" s="23" t="n">
        <v>66202</v>
      </c>
      <c r="K728">
        <f>IF(OR(COUNTIF($A$5:A728,A728)&gt;1,G728&lt;0,C728="",B728&lt;'Work 1'!$C$6,B728&gt;'Work 1'!$C$7,H728&gt;'Work 1'!$C$8*AVERAGEIF($F$5:$F$1014,F728,$H$5:$H$1014)),"Excl",IF(B728&gt;='Work 1'!$C$5,"LTM","Prior"))</f>
        <v/>
      </c>
      <c r="L728">
        <f>I728-J728</f>
        <v/>
      </c>
    </row>
    <row r="729" ht="14.25" customHeight="1" s="54">
      <c r="A729" s="20" t="inlineStr">
        <is>
          <t>BH-40722</t>
        </is>
      </c>
      <c r="B729" s="21" t="n">
        <v>45992</v>
      </c>
      <c r="C729" s="20" t="inlineStr">
        <is>
          <t>C04</t>
        </is>
      </c>
      <c r="D729" s="20" t="inlineStr">
        <is>
          <t>Harvest Lane Co-op</t>
        </is>
      </c>
      <c r="E729" s="20" t="inlineStr">
        <is>
          <t>Grocery</t>
        </is>
      </c>
      <c r="F729" s="20" t="inlineStr">
        <is>
          <t>Snack Bars</t>
        </is>
      </c>
      <c r="G729" s="22" t="n">
        <v>2083</v>
      </c>
      <c r="H729" s="23" t="n">
        <v>33.35</v>
      </c>
      <c r="I729" s="23" t="n">
        <v>69468.05</v>
      </c>
      <c r="J729" s="23" t="n">
        <v>42597.35</v>
      </c>
      <c r="K729">
        <f>IF(OR(COUNTIF($A$5:A729,A729)&gt;1,G729&lt;0,C729="",B729&lt;'Work 1'!$C$6,B729&gt;'Work 1'!$C$7,H729&gt;'Work 1'!$C$8*AVERAGEIF($F$5:$F$1014,F729,$H$5:$H$1014)),"Excl",IF(B729&gt;='Work 1'!$C$5,"LTM","Prior"))</f>
        <v/>
      </c>
      <c r="L729">
        <f>I729-J729</f>
        <v/>
      </c>
    </row>
    <row r="730" ht="14.25" customHeight="1" s="54">
      <c r="A730" s="20" t="inlineStr">
        <is>
          <t>BH-40723</t>
        </is>
      </c>
      <c r="B730" s="21" t="n">
        <v>45992</v>
      </c>
      <c r="C730" s="20" t="inlineStr">
        <is>
          <t>C05</t>
        </is>
      </c>
      <c r="D730" s="20" t="inlineStr">
        <is>
          <t>Pioneer Foods Distribution</t>
        </is>
      </c>
      <c r="E730" s="20" t="inlineStr">
        <is>
          <t>Grocery</t>
        </is>
      </c>
      <c r="F730" s="20" t="inlineStr">
        <is>
          <t>Granola</t>
        </is>
      </c>
      <c r="G730" s="22" t="n">
        <v>3634</v>
      </c>
      <c r="H730" s="23" t="n">
        <v>38.74</v>
      </c>
      <c r="I730" s="23" t="n">
        <v>140781.16</v>
      </c>
      <c r="J730" s="23" t="n">
        <v>97936.3</v>
      </c>
      <c r="K730">
        <f>IF(OR(COUNTIF($A$5:A730,A730)&gt;1,G730&lt;0,C730="",B730&lt;'Work 1'!$C$6,B730&gt;'Work 1'!$C$7,H730&gt;'Work 1'!$C$8*AVERAGEIF($F$5:$F$1014,F730,$H$5:$H$1014)),"Excl",IF(B730&gt;='Work 1'!$C$5,"LTM","Prior"))</f>
        <v/>
      </c>
      <c r="L730">
        <f>I730-J730</f>
        <v/>
      </c>
    </row>
    <row r="731" ht="14.25" customHeight="1" s="54">
      <c r="A731" s="20" t="inlineStr">
        <is>
          <t>BH-40724</t>
        </is>
      </c>
      <c r="B731" s="21" t="n">
        <v>45992</v>
      </c>
      <c r="C731" s="20" t="inlineStr">
        <is>
          <t>C05</t>
        </is>
      </c>
      <c r="D731" s="20" t="inlineStr">
        <is>
          <t>Pioneer Foods Distribution</t>
        </is>
      </c>
      <c r="E731" s="20" t="inlineStr">
        <is>
          <t>Grocery</t>
        </is>
      </c>
      <c r="F731" s="20" t="inlineStr">
        <is>
          <t>Nut Butter</t>
        </is>
      </c>
      <c r="G731" s="22" t="n">
        <v>2126</v>
      </c>
      <c r="H731" s="23" t="n">
        <v>51.52</v>
      </c>
      <c r="I731" s="23" t="n">
        <v>109531.52</v>
      </c>
      <c r="J731" s="23" t="n">
        <v>83977</v>
      </c>
      <c r="K731">
        <f>IF(OR(COUNTIF($A$5:A731,A731)&gt;1,G731&lt;0,C731="",B731&lt;'Work 1'!$C$6,B731&gt;'Work 1'!$C$7,H731&gt;'Work 1'!$C$8*AVERAGEIF($F$5:$F$1014,F731,$H$5:$H$1014)),"Excl",IF(B731&gt;='Work 1'!$C$5,"LTM","Prior"))</f>
        <v/>
      </c>
      <c r="L731">
        <f>I731-J731</f>
        <v/>
      </c>
    </row>
    <row r="732" ht="14.25" customHeight="1" s="54">
      <c r="A732" s="20" t="inlineStr">
        <is>
          <t>BH-40725</t>
        </is>
      </c>
      <c r="B732" s="21" t="n">
        <v>45992</v>
      </c>
      <c r="C732" s="20" t="inlineStr">
        <is>
          <t>C05</t>
        </is>
      </c>
      <c r="D732" s="20" t="inlineStr">
        <is>
          <t>Pioneer Foods Distribution</t>
        </is>
      </c>
      <c r="E732" s="20" t="inlineStr">
        <is>
          <t>Grocery</t>
        </is>
      </c>
      <c r="F732" s="20" t="inlineStr">
        <is>
          <t>Snack Bars</t>
        </is>
      </c>
      <c r="G732" s="22" t="n">
        <v>3354</v>
      </c>
      <c r="H732" s="23" t="n">
        <v>30.02</v>
      </c>
      <c r="I732" s="23" t="n">
        <v>100687.08</v>
      </c>
      <c r="J732" s="23" t="n">
        <v>68589.3</v>
      </c>
      <c r="K732">
        <f>IF(OR(COUNTIF($A$5:A732,A732)&gt;1,G732&lt;0,C732="",B732&lt;'Work 1'!$C$6,B732&gt;'Work 1'!$C$7,H732&gt;'Work 1'!$C$8*AVERAGEIF($F$5:$F$1014,F732,$H$5:$H$1014)),"Excl",IF(B732&gt;='Work 1'!$C$5,"LTM","Prior"))</f>
        <v/>
      </c>
      <c r="L732">
        <f>I732-J732</f>
        <v/>
      </c>
    </row>
    <row r="733" ht="14.25" customHeight="1" s="54">
      <c r="A733" s="20" t="inlineStr">
        <is>
          <t>BH-40726</t>
        </is>
      </c>
      <c r="B733" s="21" t="n">
        <v>45992</v>
      </c>
      <c r="C733" s="20" t="inlineStr">
        <is>
          <t>C06</t>
        </is>
      </c>
      <c r="D733" s="20" t="inlineStr">
        <is>
          <t>Summit Club Stores</t>
        </is>
      </c>
      <c r="E733" s="20" t="inlineStr">
        <is>
          <t>Club</t>
        </is>
      </c>
      <c r="F733" s="20" t="inlineStr">
        <is>
          <t>Granola</t>
        </is>
      </c>
      <c r="G733" s="22" t="n">
        <v>5584</v>
      </c>
      <c r="H733" s="23" t="n">
        <v>36.6</v>
      </c>
      <c r="I733" s="23" t="n">
        <v>204374.4</v>
      </c>
      <c r="J733" s="23" t="n">
        <v>150488.8</v>
      </c>
      <c r="K733">
        <f>IF(OR(COUNTIF($A$5:A733,A733)&gt;1,G733&lt;0,C733="",B733&lt;'Work 1'!$C$6,B733&gt;'Work 1'!$C$7,H733&gt;'Work 1'!$C$8*AVERAGEIF($F$5:$F$1014,F733,$H$5:$H$1014)),"Excl",IF(B733&gt;='Work 1'!$C$5,"LTM","Prior"))</f>
        <v/>
      </c>
      <c r="L733">
        <f>I733-J733</f>
        <v/>
      </c>
    </row>
    <row r="734" ht="14.25" customHeight="1" s="54">
      <c r="A734" s="20" t="inlineStr">
        <is>
          <t>BH-40727</t>
        </is>
      </c>
      <c r="B734" s="21" t="n">
        <v>45992</v>
      </c>
      <c r="C734" s="20" t="inlineStr">
        <is>
          <t>C06</t>
        </is>
      </c>
      <c r="D734" s="20" t="inlineStr">
        <is>
          <t>Summit Club Stores</t>
        </is>
      </c>
      <c r="E734" s="20" t="inlineStr">
        <is>
          <t>Club</t>
        </is>
      </c>
      <c r="F734" s="20" t="inlineStr">
        <is>
          <t>Nut Butter</t>
        </is>
      </c>
      <c r="G734" s="22" t="n">
        <v>3026</v>
      </c>
      <c r="H734" s="23" t="n">
        <v>48.75</v>
      </c>
      <c r="I734" s="23" t="n">
        <v>147517.5</v>
      </c>
      <c r="J734" s="23" t="n">
        <v>119527</v>
      </c>
      <c r="K734">
        <f>IF(OR(COUNTIF($A$5:A734,A734)&gt;1,G734&lt;0,C734="",B734&lt;'Work 1'!$C$6,B734&gt;'Work 1'!$C$7,H734&gt;'Work 1'!$C$8*AVERAGEIF($F$5:$F$1014,F734,$H$5:$H$1014)),"Excl",IF(B734&gt;='Work 1'!$C$5,"LTM","Prior"))</f>
        <v/>
      </c>
      <c r="L734">
        <f>I734-J734</f>
        <v/>
      </c>
    </row>
    <row r="735" ht="14.25" customHeight="1" s="54">
      <c r="A735" s="20" t="inlineStr">
        <is>
          <t>BH-40728</t>
        </is>
      </c>
      <c r="B735" s="21" t="n">
        <v>45992</v>
      </c>
      <c r="C735" s="20" t="inlineStr">
        <is>
          <t>C07</t>
        </is>
      </c>
      <c r="D735" s="20" t="inlineStr">
        <is>
          <t>Bramble Hill Online Store</t>
        </is>
      </c>
      <c r="E735" s="20" t="inlineStr">
        <is>
          <t>Online</t>
        </is>
      </c>
      <c r="F735" s="20" t="inlineStr">
        <is>
          <t>Granola</t>
        </is>
      </c>
      <c r="G735" s="22" t="n">
        <v>3853</v>
      </c>
      <c r="H735" s="23" t="n">
        <v>49.4</v>
      </c>
      <c r="I735" s="23" t="n">
        <v>190338.2</v>
      </c>
      <c r="J735" s="23" t="n">
        <v>103838.35</v>
      </c>
      <c r="K735">
        <f>IF(OR(COUNTIF($A$5:A735,A735)&gt;1,G735&lt;0,C735="",B735&lt;'Work 1'!$C$6,B735&gt;'Work 1'!$C$7,H735&gt;'Work 1'!$C$8*AVERAGEIF($F$5:$F$1014,F735,$H$5:$H$1014)),"Excl",IF(B735&gt;='Work 1'!$C$5,"LTM","Prior"))</f>
        <v/>
      </c>
      <c r="L735">
        <f>I735-J735</f>
        <v/>
      </c>
    </row>
    <row r="736" ht="14.25" customHeight="1" s="54">
      <c r="A736" s="20" t="inlineStr">
        <is>
          <t>BH-40729</t>
        </is>
      </c>
      <c r="B736" s="21" t="n">
        <v>45992</v>
      </c>
      <c r="C736" s="20" t="inlineStr">
        <is>
          <t>C07</t>
        </is>
      </c>
      <c r="D736" s="20" t="inlineStr">
        <is>
          <t>Bramble Hill Online Store</t>
        </is>
      </c>
      <c r="E736" s="20" t="inlineStr">
        <is>
          <t>Online</t>
        </is>
      </c>
      <c r="F736" s="20" t="inlineStr">
        <is>
          <t>Nut Butter</t>
        </is>
      </c>
      <c r="G736" s="22" t="n">
        <v>2148</v>
      </c>
      <c r="H736" s="23" t="n">
        <v>64.40000000000001</v>
      </c>
      <c r="I736" s="23" t="n">
        <v>138331.2</v>
      </c>
      <c r="J736" s="23" t="n">
        <v>84846</v>
      </c>
      <c r="K736">
        <f>IF(OR(COUNTIF($A$5:A736,A736)&gt;1,G736&lt;0,C736="",B736&lt;'Work 1'!$C$6,B736&gt;'Work 1'!$C$7,H736&gt;'Work 1'!$C$8*AVERAGEIF($F$5:$F$1014,F736,$H$5:$H$1014)),"Excl",IF(B736&gt;='Work 1'!$C$5,"LTM","Prior"))</f>
        <v/>
      </c>
      <c r="L736">
        <f>I736-J736</f>
        <v/>
      </c>
    </row>
    <row r="737" ht="14.25" customHeight="1" s="54">
      <c r="A737" s="20" t="inlineStr">
        <is>
          <t>BH-40730</t>
        </is>
      </c>
      <c r="B737" s="21" t="n">
        <v>45992</v>
      </c>
      <c r="C737" s="20" t="inlineStr">
        <is>
          <t>C07</t>
        </is>
      </c>
      <c r="D737" s="20" t="inlineStr">
        <is>
          <t>Bramble Hill Online Store</t>
        </is>
      </c>
      <c r="E737" s="20" t="inlineStr">
        <is>
          <t>Online</t>
        </is>
      </c>
      <c r="F737" s="20" t="inlineStr">
        <is>
          <t>Snack Bars</t>
        </is>
      </c>
      <c r="G737" s="22" t="n">
        <v>2852</v>
      </c>
      <c r="H737" s="23" t="n">
        <v>39.3</v>
      </c>
      <c r="I737" s="23" t="n">
        <v>112083.6</v>
      </c>
      <c r="J737" s="23" t="n">
        <v>58323.4</v>
      </c>
      <c r="K737">
        <f>IF(OR(COUNTIF($A$5:A737,A737)&gt;1,G737&lt;0,C737="",B737&lt;'Work 1'!$C$6,B737&gt;'Work 1'!$C$7,H737&gt;'Work 1'!$C$8*AVERAGEIF($F$5:$F$1014,F737,$H$5:$H$1014)),"Excl",IF(B737&gt;='Work 1'!$C$5,"LTM","Prior"))</f>
        <v/>
      </c>
      <c r="L737">
        <f>I737-J737</f>
        <v/>
      </c>
    </row>
    <row r="738" ht="14.25" customHeight="1" s="54">
      <c r="A738" s="20" t="inlineStr">
        <is>
          <t>BH-40731</t>
        </is>
      </c>
      <c r="B738" s="21" t="n">
        <v>45992</v>
      </c>
      <c r="C738" s="20" t="inlineStr">
        <is>
          <t>C08</t>
        </is>
      </c>
      <c r="D738" s="20" t="inlineStr">
        <is>
          <t>Online Marketplace</t>
        </is>
      </c>
      <c r="E738" s="20" t="inlineStr">
        <is>
          <t>Online</t>
        </is>
      </c>
      <c r="F738" s="20" t="inlineStr">
        <is>
          <t>Granola</t>
        </is>
      </c>
      <c r="G738" s="22" t="n">
        <v>4297</v>
      </c>
      <c r="H738" s="23" t="n">
        <v>43.47</v>
      </c>
      <c r="I738" s="23" t="n">
        <v>186790.59</v>
      </c>
      <c r="J738" s="23" t="n">
        <v>115804.15</v>
      </c>
      <c r="K738">
        <f>IF(OR(COUNTIF($A$5:A738,A738)&gt;1,G738&lt;0,C738="",B738&lt;'Work 1'!$C$6,B738&gt;'Work 1'!$C$7,H738&gt;'Work 1'!$C$8*AVERAGEIF($F$5:$F$1014,F738,$H$5:$H$1014)),"Excl",IF(B738&gt;='Work 1'!$C$5,"LTM","Prior"))</f>
        <v/>
      </c>
      <c r="L738">
        <f>I738-J738</f>
        <v/>
      </c>
    </row>
    <row r="739" ht="14.25" customHeight="1" s="54">
      <c r="A739" s="20" t="inlineStr">
        <is>
          <t>BH-40732</t>
        </is>
      </c>
      <c r="B739" s="21" t="n">
        <v>45992</v>
      </c>
      <c r="C739" s="20" t="inlineStr">
        <is>
          <t>C08</t>
        </is>
      </c>
      <c r="D739" s="20" t="inlineStr">
        <is>
          <t>Online Marketplace</t>
        </is>
      </c>
      <c r="E739" s="20" t="inlineStr">
        <is>
          <t>Online</t>
        </is>
      </c>
      <c r="F739" s="20" t="inlineStr">
        <is>
          <t>Nut Butter</t>
        </is>
      </c>
      <c r="G739" s="22" t="n">
        <v>2289</v>
      </c>
      <c r="H739" s="23" t="n">
        <v>56.67</v>
      </c>
      <c r="I739" s="23" t="n">
        <v>129717.63</v>
      </c>
      <c r="J739" s="23" t="n">
        <v>90415.5</v>
      </c>
      <c r="K739">
        <f>IF(OR(COUNTIF($A$5:A739,A739)&gt;1,G739&lt;0,C739="",B739&lt;'Work 1'!$C$6,B739&gt;'Work 1'!$C$7,H739&gt;'Work 1'!$C$8*AVERAGEIF($F$5:$F$1014,F739,$H$5:$H$1014)),"Excl",IF(B739&gt;='Work 1'!$C$5,"LTM","Prior"))</f>
        <v/>
      </c>
      <c r="L739">
        <f>I739-J739</f>
        <v/>
      </c>
    </row>
    <row r="740" ht="14.25" customHeight="1" s="54">
      <c r="A740" s="20" t="inlineStr">
        <is>
          <t>BH-40733</t>
        </is>
      </c>
      <c r="B740" s="21" t="n">
        <v>45992</v>
      </c>
      <c r="C740" s="20" t="inlineStr">
        <is>
          <t>C08</t>
        </is>
      </c>
      <c r="D740" s="20" t="inlineStr">
        <is>
          <t>Online Marketplace</t>
        </is>
      </c>
      <c r="E740" s="20" t="inlineStr">
        <is>
          <t>Online</t>
        </is>
      </c>
      <c r="F740" s="20" t="inlineStr">
        <is>
          <t>Snack Bars</t>
        </is>
      </c>
      <c r="G740" s="22" t="n">
        <v>3605</v>
      </c>
      <c r="H740" s="23" t="n">
        <v>34.58</v>
      </c>
      <c r="I740" s="23" t="n">
        <v>124660.9</v>
      </c>
      <c r="J740" s="23" t="n">
        <v>73722.25</v>
      </c>
      <c r="K740">
        <f>IF(OR(COUNTIF($A$5:A740,A740)&gt;1,G740&lt;0,C740="",B740&lt;'Work 1'!$C$6,B740&gt;'Work 1'!$C$7,H740&gt;'Work 1'!$C$8*AVERAGEIF($F$5:$F$1014,F740,$H$5:$H$1014)),"Excl",IF(B740&gt;='Work 1'!$C$5,"LTM","Prior"))</f>
        <v/>
      </c>
      <c r="L740">
        <f>I740-J740</f>
        <v/>
      </c>
    </row>
    <row r="741" ht="14.25" customHeight="1" s="54">
      <c r="A741" s="20" t="inlineStr">
        <is>
          <t>BH-40734</t>
        </is>
      </c>
      <c r="B741" s="21" t="n">
        <v>45992</v>
      </c>
      <c r="C741" s="20" t="inlineStr">
        <is>
          <t>C09</t>
        </is>
      </c>
      <c r="D741" s="20" t="inlineStr">
        <is>
          <t>Maple Ridge Grocers</t>
        </is>
      </c>
      <c r="E741" s="20" t="inlineStr">
        <is>
          <t>Grocery</t>
        </is>
      </c>
      <c r="F741" s="20" t="inlineStr">
        <is>
          <t>Granola</t>
        </is>
      </c>
      <c r="G741" s="22" t="n">
        <v>1737</v>
      </c>
      <c r="H741" s="23" t="n">
        <v>43.05</v>
      </c>
      <c r="I741" s="23" t="n">
        <v>74777.85000000001</v>
      </c>
      <c r="J741" s="23" t="n">
        <v>46812.15</v>
      </c>
      <c r="K741">
        <f>IF(OR(COUNTIF($A$5:A741,A741)&gt;1,G741&lt;0,C741="",B741&lt;'Work 1'!$C$6,B741&gt;'Work 1'!$C$7,H741&gt;'Work 1'!$C$8*AVERAGEIF($F$5:$F$1014,F741,$H$5:$H$1014)),"Excl",IF(B741&gt;='Work 1'!$C$5,"LTM","Prior"))</f>
        <v/>
      </c>
      <c r="L741">
        <f>I741-J741</f>
        <v/>
      </c>
    </row>
    <row r="742" ht="14.25" customHeight="1" s="54">
      <c r="A742" s="20" t="inlineStr">
        <is>
          <t>BH-40735</t>
        </is>
      </c>
      <c r="B742" s="21" t="n">
        <v>45992</v>
      </c>
      <c r="C742" s="20" t="inlineStr">
        <is>
          <t>C09</t>
        </is>
      </c>
      <c r="D742" s="20" t="inlineStr">
        <is>
          <t>Maple Ridge Grocers</t>
        </is>
      </c>
      <c r="E742" s="20" t="inlineStr">
        <is>
          <t>Grocery</t>
        </is>
      </c>
      <c r="F742" s="20" t="inlineStr">
        <is>
          <t>Snack Bars</t>
        </is>
      </c>
      <c r="G742" s="22" t="n">
        <v>1443</v>
      </c>
      <c r="H742" s="23" t="n">
        <v>33.35</v>
      </c>
      <c r="I742" s="23" t="n">
        <v>48124.05</v>
      </c>
      <c r="J742" s="23" t="n">
        <v>29509.35</v>
      </c>
      <c r="K742">
        <f>IF(OR(COUNTIF($A$5:A742,A742)&gt;1,G742&lt;0,C742="",B742&lt;'Work 1'!$C$6,B742&gt;'Work 1'!$C$7,H742&gt;'Work 1'!$C$8*AVERAGEIF($F$5:$F$1014,F742,$H$5:$H$1014)),"Excl",IF(B742&gt;='Work 1'!$C$5,"LTM","Prior"))</f>
        <v/>
      </c>
      <c r="L742">
        <f>I742-J742</f>
        <v/>
      </c>
    </row>
    <row r="743" ht="14.25" customHeight="1" s="54">
      <c r="A743" s="20" t="inlineStr">
        <is>
          <t>BH-40736</t>
        </is>
      </c>
      <c r="B743" s="21" t="n">
        <v>45992</v>
      </c>
      <c r="C743" s="20" t="inlineStr">
        <is>
          <t>C10</t>
        </is>
      </c>
      <c r="D743" s="20" t="inlineStr">
        <is>
          <t>Lakeshore Foods</t>
        </is>
      </c>
      <c r="E743" s="20" t="inlineStr">
        <is>
          <t>Grocery</t>
        </is>
      </c>
      <c r="F743" s="20" t="inlineStr">
        <is>
          <t>Granola</t>
        </is>
      </c>
      <c r="G743" s="22" t="n">
        <v>1496</v>
      </c>
      <c r="H743" s="23" t="n">
        <v>43.05</v>
      </c>
      <c r="I743" s="23" t="n">
        <v>64402.8</v>
      </c>
      <c r="J743" s="23" t="n">
        <v>40317.2</v>
      </c>
      <c r="K743">
        <f>IF(OR(COUNTIF($A$5:A743,A743)&gt;1,G743&lt;0,C743="",B743&lt;'Work 1'!$C$6,B743&gt;'Work 1'!$C$7,H743&gt;'Work 1'!$C$8*AVERAGEIF($F$5:$F$1014,F743,$H$5:$H$1014)),"Excl",IF(B743&gt;='Work 1'!$C$5,"LTM","Prior"))</f>
        <v/>
      </c>
      <c r="L743">
        <f>I743-J743</f>
        <v/>
      </c>
    </row>
    <row r="744" ht="14.25" customHeight="1" s="54">
      <c r="A744" s="20" t="inlineStr">
        <is>
          <t>BH-40737</t>
        </is>
      </c>
      <c r="B744" s="21" t="n">
        <v>45992</v>
      </c>
      <c r="C744" s="20" t="inlineStr">
        <is>
          <t>C10</t>
        </is>
      </c>
      <c r="D744" s="20" t="inlineStr">
        <is>
          <t>Lakeshore Foods</t>
        </is>
      </c>
      <c r="E744" s="20" t="inlineStr">
        <is>
          <t>Grocery</t>
        </is>
      </c>
      <c r="F744" s="20" t="inlineStr">
        <is>
          <t>Nut Butter</t>
        </is>
      </c>
      <c r="G744" s="22" t="n">
        <v>664</v>
      </c>
      <c r="H744" s="23" t="n">
        <v>57.25</v>
      </c>
      <c r="I744" s="23" t="n">
        <v>38014</v>
      </c>
      <c r="J744" s="23" t="n">
        <v>26228</v>
      </c>
      <c r="K744">
        <f>IF(OR(COUNTIF($A$5:A744,A744)&gt;1,G744&lt;0,C744="",B744&lt;'Work 1'!$C$6,B744&gt;'Work 1'!$C$7,H744&gt;'Work 1'!$C$8*AVERAGEIF($F$5:$F$1014,F744,$H$5:$H$1014)),"Excl",IF(B744&gt;='Work 1'!$C$5,"LTM","Prior"))</f>
        <v/>
      </c>
      <c r="L744">
        <f>I744-J744</f>
        <v/>
      </c>
    </row>
    <row r="745" ht="14.25" customHeight="1" s="54">
      <c r="A745" s="20" t="inlineStr">
        <is>
          <t>BH-40738</t>
        </is>
      </c>
      <c r="B745" s="21" t="n">
        <v>45992</v>
      </c>
      <c r="C745" s="20" t="inlineStr">
        <is>
          <t>C11</t>
        </is>
      </c>
      <c r="D745" s="20" t="inlineStr">
        <is>
          <t>Copper Valley Market</t>
        </is>
      </c>
      <c r="E745" s="20" t="inlineStr">
        <is>
          <t>Grocery</t>
        </is>
      </c>
      <c r="F745" s="20" t="inlineStr">
        <is>
          <t>Granola</t>
        </is>
      </c>
      <c r="G745" s="22" t="n">
        <v>1404</v>
      </c>
      <c r="H745" s="23" t="n">
        <v>43.05</v>
      </c>
      <c r="I745" s="23" t="n">
        <v>60442.2</v>
      </c>
      <c r="J745" s="23" t="n">
        <v>37837.8</v>
      </c>
      <c r="K745">
        <f>IF(OR(COUNTIF($A$5:A745,A745)&gt;1,G745&lt;0,C745="",B745&lt;'Work 1'!$C$6,B745&gt;'Work 1'!$C$7,H745&gt;'Work 1'!$C$8*AVERAGEIF($F$5:$F$1014,F745,$H$5:$H$1014)),"Excl",IF(B745&gt;='Work 1'!$C$5,"LTM","Prior"))</f>
        <v/>
      </c>
      <c r="L745">
        <f>I745-J745</f>
        <v/>
      </c>
    </row>
    <row r="746" ht="14.25" customHeight="1" s="54">
      <c r="A746" s="20" t="inlineStr">
        <is>
          <t>BH-40739</t>
        </is>
      </c>
      <c r="B746" s="21" t="n">
        <v>45992</v>
      </c>
      <c r="C746" s="20" t="inlineStr">
        <is>
          <t>C11</t>
        </is>
      </c>
      <c r="D746" s="20" t="inlineStr">
        <is>
          <t>Copper Valley Market</t>
        </is>
      </c>
      <c r="E746" s="20" t="inlineStr">
        <is>
          <t>Grocery</t>
        </is>
      </c>
      <c r="F746" s="20" t="inlineStr">
        <is>
          <t>Snack Bars</t>
        </is>
      </c>
      <c r="G746" s="22" t="n">
        <v>1476</v>
      </c>
      <c r="H746" s="23" t="n">
        <v>33.35</v>
      </c>
      <c r="I746" s="23" t="n">
        <v>49224.6</v>
      </c>
      <c r="J746" s="23" t="n">
        <v>30184.2</v>
      </c>
      <c r="K746">
        <f>IF(OR(COUNTIF($A$5:A746,A746)&gt;1,G746&lt;0,C746="",B746&lt;'Work 1'!$C$6,B746&gt;'Work 1'!$C$7,H746&gt;'Work 1'!$C$8*AVERAGEIF($F$5:$F$1014,F746,$H$5:$H$1014)),"Excl",IF(B746&gt;='Work 1'!$C$5,"LTM","Prior"))</f>
        <v/>
      </c>
      <c r="L746">
        <f>I746-J746</f>
        <v/>
      </c>
    </row>
    <row r="747" ht="14.25" customHeight="1" s="54">
      <c r="A747" s="20" t="inlineStr">
        <is>
          <t>BH-40740</t>
        </is>
      </c>
      <c r="B747" s="21" t="n">
        <v>45992</v>
      </c>
      <c r="C747" s="20" t="inlineStr">
        <is>
          <t>C12</t>
        </is>
      </c>
      <c r="D747" s="20" t="inlineStr">
        <is>
          <t>Riverbend Grocery</t>
        </is>
      </c>
      <c r="E747" s="20" t="inlineStr">
        <is>
          <t>Grocery</t>
        </is>
      </c>
      <c r="F747" s="20" t="inlineStr">
        <is>
          <t>Granola</t>
        </is>
      </c>
      <c r="G747" s="22" t="n">
        <v>1955</v>
      </c>
      <c r="H747" s="23" t="n">
        <v>43.05</v>
      </c>
      <c r="I747" s="23" t="n">
        <v>84162.75</v>
      </c>
      <c r="J747" s="23" t="n">
        <v>52687.25</v>
      </c>
      <c r="K747">
        <f>IF(OR(COUNTIF($A$5:A747,A747)&gt;1,G747&lt;0,C747="",B747&lt;'Work 1'!$C$6,B747&gt;'Work 1'!$C$7,H747&gt;'Work 1'!$C$8*AVERAGEIF($F$5:$F$1014,F747,$H$5:$H$1014)),"Excl",IF(B747&gt;='Work 1'!$C$5,"LTM","Prior"))</f>
        <v/>
      </c>
      <c r="L747">
        <f>I747-J747</f>
        <v/>
      </c>
    </row>
    <row r="748" ht="14.25" customHeight="1" s="54">
      <c r="A748" s="20" t="inlineStr">
        <is>
          <t>BH-40741</t>
        </is>
      </c>
      <c r="B748" s="21" t="n">
        <v>45992</v>
      </c>
      <c r="C748" s="20" t="inlineStr">
        <is>
          <t>C12</t>
        </is>
      </c>
      <c r="D748" s="20" t="inlineStr">
        <is>
          <t>Riverbend Grocery</t>
        </is>
      </c>
      <c r="E748" s="20" t="inlineStr">
        <is>
          <t>Grocery</t>
        </is>
      </c>
      <c r="F748" s="20" t="inlineStr">
        <is>
          <t>Nut Butter</t>
        </is>
      </c>
      <c r="G748" s="22" t="n">
        <v>800</v>
      </c>
      <c r="H748" s="23" t="n">
        <v>57.25</v>
      </c>
      <c r="I748" s="23" t="n">
        <v>45800</v>
      </c>
      <c r="J748" s="23" t="n">
        <v>31600</v>
      </c>
      <c r="K748">
        <f>IF(OR(COUNTIF($A$5:A748,A748)&gt;1,G748&lt;0,C748="",B748&lt;'Work 1'!$C$6,B748&gt;'Work 1'!$C$7,H748&gt;'Work 1'!$C$8*AVERAGEIF($F$5:$F$1014,F748,$H$5:$H$1014)),"Excl",IF(B748&gt;='Work 1'!$C$5,"LTM","Prior"))</f>
        <v/>
      </c>
      <c r="L748">
        <f>I748-J748</f>
        <v/>
      </c>
    </row>
    <row r="749" ht="14.25" customHeight="1" s="54">
      <c r="A749" s="20" t="inlineStr">
        <is>
          <t>BH-40742</t>
        </is>
      </c>
      <c r="B749" s="21" t="n">
        <v>45992</v>
      </c>
      <c r="C749" s="20" t="inlineStr">
        <is>
          <t>C13</t>
        </is>
      </c>
      <c r="D749" s="20" t="inlineStr">
        <is>
          <t>Sunfield Markets</t>
        </is>
      </c>
      <c r="E749" s="20" t="inlineStr">
        <is>
          <t>Grocery</t>
        </is>
      </c>
      <c r="F749" s="20" t="inlineStr">
        <is>
          <t>Granola</t>
        </is>
      </c>
      <c r="G749" s="22" t="n">
        <v>1140</v>
      </c>
      <c r="H749" s="23" t="n">
        <v>43.05</v>
      </c>
      <c r="I749" s="23" t="n">
        <v>49077</v>
      </c>
      <c r="J749" s="23" t="n">
        <v>30723</v>
      </c>
      <c r="K749">
        <f>IF(OR(COUNTIF($A$5:A749,A749)&gt;1,G749&lt;0,C749="",B749&lt;'Work 1'!$C$6,B749&gt;'Work 1'!$C$7,H749&gt;'Work 1'!$C$8*AVERAGEIF($F$5:$F$1014,F749,$H$5:$H$1014)),"Excl",IF(B749&gt;='Work 1'!$C$5,"LTM","Prior"))</f>
        <v/>
      </c>
      <c r="L749">
        <f>I749-J749</f>
        <v/>
      </c>
    </row>
    <row r="750" ht="14.25" customHeight="1" s="54">
      <c r="A750" s="20" t="inlineStr">
        <is>
          <t>BH-40743</t>
        </is>
      </c>
      <c r="B750" s="21" t="n">
        <v>45992</v>
      </c>
      <c r="C750" s="20" t="inlineStr">
        <is>
          <t>C13</t>
        </is>
      </c>
      <c r="D750" s="20" t="inlineStr">
        <is>
          <t>Sunfield Markets</t>
        </is>
      </c>
      <c r="E750" s="20" t="inlineStr">
        <is>
          <t>Grocery</t>
        </is>
      </c>
      <c r="F750" s="20" t="inlineStr">
        <is>
          <t>Snack Bars</t>
        </is>
      </c>
      <c r="G750" s="22" t="n">
        <v>1202</v>
      </c>
      <c r="H750" s="23" t="n">
        <v>33.35</v>
      </c>
      <c r="I750" s="23" t="n">
        <v>40086.7</v>
      </c>
      <c r="J750" s="23" t="n">
        <v>24580.9</v>
      </c>
      <c r="K750">
        <f>IF(OR(COUNTIF($A$5:A750,A750)&gt;1,G750&lt;0,C750="",B750&lt;'Work 1'!$C$6,B750&gt;'Work 1'!$C$7,H750&gt;'Work 1'!$C$8*AVERAGEIF($F$5:$F$1014,F750,$H$5:$H$1014)),"Excl",IF(B750&gt;='Work 1'!$C$5,"LTM","Prior"))</f>
        <v/>
      </c>
      <c r="L750">
        <f>I750-J750</f>
        <v/>
      </c>
    </row>
    <row r="751" ht="14.25" customHeight="1" s="54">
      <c r="A751" s="20" t="inlineStr">
        <is>
          <t>BH-40744</t>
        </is>
      </c>
      <c r="B751" s="21" t="n">
        <v>45992</v>
      </c>
      <c r="C751" s="20" t="inlineStr">
        <is>
          <t>C14</t>
        </is>
      </c>
      <c r="D751" s="20" t="inlineStr">
        <is>
          <t>Oak Hollow Foods</t>
        </is>
      </c>
      <c r="E751" s="20" t="inlineStr">
        <is>
          <t>Grocery</t>
        </is>
      </c>
      <c r="F751" s="20" t="inlineStr">
        <is>
          <t>Granola</t>
        </is>
      </c>
      <c r="G751" s="22" t="n">
        <v>1226</v>
      </c>
      <c r="H751" s="23" t="n">
        <v>43.05</v>
      </c>
      <c r="I751" s="23" t="n">
        <v>52779.3</v>
      </c>
      <c r="J751" s="23" t="n">
        <v>33040.7</v>
      </c>
      <c r="K751">
        <f>IF(OR(COUNTIF($A$5:A751,A751)&gt;1,G751&lt;0,C751="",B751&lt;'Work 1'!$C$6,B751&gt;'Work 1'!$C$7,H751&gt;'Work 1'!$C$8*AVERAGEIF($F$5:$F$1014,F751,$H$5:$H$1014)),"Excl",IF(B751&gt;='Work 1'!$C$5,"LTM","Prior"))</f>
        <v/>
      </c>
      <c r="L751">
        <f>I751-J751</f>
        <v/>
      </c>
    </row>
    <row r="752" ht="14.25" customHeight="1" s="54">
      <c r="A752" s="20" t="inlineStr">
        <is>
          <t>BH-40745</t>
        </is>
      </c>
      <c r="B752" s="21" t="n">
        <v>45992</v>
      </c>
      <c r="C752" s="20" t="inlineStr">
        <is>
          <t>C14</t>
        </is>
      </c>
      <c r="D752" s="20" t="inlineStr">
        <is>
          <t>Oak Hollow Foods</t>
        </is>
      </c>
      <c r="E752" s="20" t="inlineStr">
        <is>
          <t>Grocery</t>
        </is>
      </c>
      <c r="F752" s="20" t="inlineStr">
        <is>
          <t>Nut Butter</t>
        </is>
      </c>
      <c r="G752" s="22" t="n">
        <v>481</v>
      </c>
      <c r="H752" s="23" t="n">
        <v>57.25</v>
      </c>
      <c r="I752" s="23" t="n">
        <v>27537.25</v>
      </c>
      <c r="J752" s="23" t="n">
        <v>18999.5</v>
      </c>
      <c r="K752">
        <f>IF(OR(COUNTIF($A$5:A752,A752)&gt;1,G752&lt;0,C752="",B752&lt;'Work 1'!$C$6,B752&gt;'Work 1'!$C$7,H752&gt;'Work 1'!$C$8*AVERAGEIF($F$5:$F$1014,F752,$H$5:$H$1014)),"Excl",IF(B752&gt;='Work 1'!$C$5,"LTM","Prior"))</f>
        <v/>
      </c>
      <c r="L752">
        <f>I752-J752</f>
        <v/>
      </c>
    </row>
    <row r="753" ht="14.25" customHeight="1" s="54">
      <c r="A753" s="20" t="inlineStr">
        <is>
          <t>BH-40746</t>
        </is>
      </c>
      <c r="B753" s="21" t="n">
        <v>45992</v>
      </c>
      <c r="C753" s="20" t="inlineStr">
        <is>
          <t>C14</t>
        </is>
      </c>
      <c r="D753" s="20" t="inlineStr">
        <is>
          <t>Oak Hollow Foods</t>
        </is>
      </c>
      <c r="E753" s="20" t="inlineStr">
        <is>
          <t>Grocery</t>
        </is>
      </c>
      <c r="F753" s="20" t="inlineStr">
        <is>
          <t>Snack Bars</t>
        </is>
      </c>
      <c r="G753" s="22" t="n">
        <v>808</v>
      </c>
      <c r="H753" s="23" t="n">
        <v>33.35</v>
      </c>
      <c r="I753" s="23" t="n">
        <v>26946.8</v>
      </c>
      <c r="J753" s="23" t="n">
        <v>16523.6</v>
      </c>
      <c r="K753">
        <f>IF(OR(COUNTIF($A$5:A753,A753)&gt;1,G753&lt;0,C753="",B753&lt;'Work 1'!$C$6,B753&gt;'Work 1'!$C$7,H753&gt;'Work 1'!$C$8*AVERAGEIF($F$5:$F$1014,F753,$H$5:$H$1014)),"Excl",IF(B753&gt;='Work 1'!$C$5,"LTM","Prior"))</f>
        <v/>
      </c>
      <c r="L753">
        <f>I753-J753</f>
        <v/>
      </c>
    </row>
    <row r="754" ht="14.25" customHeight="1" s="54">
      <c r="A754" s="20" t="inlineStr">
        <is>
          <t>BH-40747</t>
        </is>
      </c>
      <c r="B754" s="21" t="n">
        <v>45992</v>
      </c>
      <c r="C754" s="20" t="inlineStr">
        <is>
          <t>C15</t>
        </is>
      </c>
      <c r="D754" s="20" t="inlineStr">
        <is>
          <t>Prairie Fresh</t>
        </is>
      </c>
      <c r="E754" s="20" t="inlineStr">
        <is>
          <t>Grocery</t>
        </is>
      </c>
      <c r="F754" s="20" t="inlineStr">
        <is>
          <t>Granola</t>
        </is>
      </c>
      <c r="G754" s="22" t="n">
        <v>1595</v>
      </c>
      <c r="H754" s="23" t="n">
        <v>43.05</v>
      </c>
      <c r="I754" s="23" t="n">
        <v>68664.75</v>
      </c>
      <c r="J754" s="23" t="n">
        <v>42985.25</v>
      </c>
      <c r="K754">
        <f>IF(OR(COUNTIF($A$5:A754,A754)&gt;1,G754&lt;0,C754="",B754&lt;'Work 1'!$C$6,B754&gt;'Work 1'!$C$7,H754&gt;'Work 1'!$C$8*AVERAGEIF($F$5:$F$1014,F754,$H$5:$H$1014)),"Excl",IF(B754&gt;='Work 1'!$C$5,"LTM","Prior"))</f>
        <v/>
      </c>
      <c r="L754">
        <f>I754-J754</f>
        <v/>
      </c>
    </row>
    <row r="755" ht="14.25" customHeight="1" s="54">
      <c r="A755" s="20" t="inlineStr">
        <is>
          <t>BH-40748</t>
        </is>
      </c>
      <c r="B755" s="21" t="n">
        <v>45992</v>
      </c>
      <c r="C755" s="20" t="inlineStr">
        <is>
          <t>C15</t>
        </is>
      </c>
      <c r="D755" s="20" t="inlineStr">
        <is>
          <t>Prairie Fresh</t>
        </is>
      </c>
      <c r="E755" s="20" t="inlineStr">
        <is>
          <t>Grocery</t>
        </is>
      </c>
      <c r="F755" s="20" t="inlineStr">
        <is>
          <t>Snack Bars</t>
        </is>
      </c>
      <c r="G755" s="22" t="n">
        <v>1117</v>
      </c>
      <c r="H755" s="23" t="n">
        <v>33.35</v>
      </c>
      <c r="I755" s="23" t="n">
        <v>37251.95</v>
      </c>
      <c r="J755" s="23" t="n">
        <v>22842.65</v>
      </c>
      <c r="K755">
        <f>IF(OR(COUNTIF($A$5:A755,A755)&gt;1,G755&lt;0,C755="",B755&lt;'Work 1'!$C$6,B755&gt;'Work 1'!$C$7,H755&gt;'Work 1'!$C$8*AVERAGEIF($F$5:$F$1014,F755,$H$5:$H$1014)),"Excl",IF(B755&gt;='Work 1'!$C$5,"LTM","Prior"))</f>
        <v/>
      </c>
      <c r="L755">
        <f>I755-J755</f>
        <v/>
      </c>
    </row>
    <row r="756" ht="14.25" customHeight="1" s="54">
      <c r="A756" s="20" t="inlineStr">
        <is>
          <t>BH-40749</t>
        </is>
      </c>
      <c r="B756" s="21" t="n">
        <v>45992</v>
      </c>
      <c r="C756" s="20" t="inlineStr">
        <is>
          <t>C16</t>
        </is>
      </c>
      <c r="D756" s="20" t="inlineStr">
        <is>
          <t>Bay Street Market</t>
        </is>
      </c>
      <c r="E756" s="20" t="inlineStr">
        <is>
          <t>Grocery</t>
        </is>
      </c>
      <c r="F756" s="20" t="inlineStr">
        <is>
          <t>Granola</t>
        </is>
      </c>
      <c r="G756" s="22" t="n">
        <v>1111</v>
      </c>
      <c r="H756" s="23" t="n">
        <v>43.05</v>
      </c>
      <c r="I756" s="23" t="n">
        <v>47828.55</v>
      </c>
      <c r="J756" s="23" t="n">
        <v>29941.45</v>
      </c>
      <c r="K756">
        <f>IF(OR(COUNTIF($A$5:A756,A756)&gt;1,G756&lt;0,C756="",B756&lt;'Work 1'!$C$6,B756&gt;'Work 1'!$C$7,H756&gt;'Work 1'!$C$8*AVERAGEIF($F$5:$F$1014,F756,$H$5:$H$1014)),"Excl",IF(B756&gt;='Work 1'!$C$5,"LTM","Prior"))</f>
        <v/>
      </c>
      <c r="L756">
        <f>I756-J756</f>
        <v/>
      </c>
    </row>
    <row r="757" ht="14.25" customHeight="1" s="54">
      <c r="A757" s="20" t="inlineStr">
        <is>
          <t>BH-40750</t>
        </is>
      </c>
      <c r="B757" s="21" t="n">
        <v>45992</v>
      </c>
      <c r="C757" s="20" t="inlineStr">
        <is>
          <t>C16</t>
        </is>
      </c>
      <c r="D757" s="20" t="inlineStr">
        <is>
          <t>Bay Street Market</t>
        </is>
      </c>
      <c r="E757" s="20" t="inlineStr">
        <is>
          <t>Grocery</t>
        </is>
      </c>
      <c r="F757" s="20" t="inlineStr">
        <is>
          <t>Nut Butter</t>
        </is>
      </c>
      <c r="G757" s="22" t="n">
        <v>664</v>
      </c>
      <c r="H757" s="23" t="n">
        <v>57.25</v>
      </c>
      <c r="I757" s="23" t="n">
        <v>38014</v>
      </c>
      <c r="J757" s="23" t="n">
        <v>26228</v>
      </c>
      <c r="K757">
        <f>IF(OR(COUNTIF($A$5:A757,A757)&gt;1,G757&lt;0,C757="",B757&lt;'Work 1'!$C$6,B757&gt;'Work 1'!$C$7,H757&gt;'Work 1'!$C$8*AVERAGEIF($F$5:$F$1014,F757,$H$5:$H$1014)),"Excl",IF(B757&gt;='Work 1'!$C$5,"LTM","Prior"))</f>
        <v/>
      </c>
      <c r="L757">
        <f>I757-J757</f>
        <v/>
      </c>
    </row>
    <row r="758" ht="14.25" customHeight="1" s="54">
      <c r="A758" s="20" t="inlineStr">
        <is>
          <t>BH-40751</t>
        </is>
      </c>
      <c r="B758" s="21" t="n">
        <v>45992</v>
      </c>
      <c r="C758" s="20" t="inlineStr">
        <is>
          <t>C19</t>
        </is>
      </c>
      <c r="D758" s="20" t="inlineStr">
        <is>
          <t>Greenway Markets</t>
        </is>
      </c>
      <c r="E758" s="20" t="inlineStr">
        <is>
          <t>Grocery</t>
        </is>
      </c>
      <c r="F758" s="20" t="inlineStr">
        <is>
          <t>Granola</t>
        </is>
      </c>
      <c r="G758" s="22" t="n">
        <v>1806</v>
      </c>
      <c r="H758" s="23" t="n">
        <v>43.05</v>
      </c>
      <c r="I758" s="23" t="n">
        <v>77748.3</v>
      </c>
      <c r="J758" s="23" t="n">
        <v>48671.7</v>
      </c>
      <c r="K758">
        <f>IF(OR(COUNTIF($A$5:A758,A758)&gt;1,G758&lt;0,C758="",B758&lt;'Work 1'!$C$6,B758&gt;'Work 1'!$C$7,H758&gt;'Work 1'!$C$8*AVERAGEIF($F$5:$F$1014,F758,$H$5:$H$1014)),"Excl",IF(B758&gt;='Work 1'!$C$5,"LTM","Prior"))</f>
        <v/>
      </c>
      <c r="L758">
        <f>I758-J758</f>
        <v/>
      </c>
    </row>
    <row r="759" ht="14.25" customHeight="1" s="54">
      <c r="A759" s="20" t="inlineStr">
        <is>
          <t>BH-40752</t>
        </is>
      </c>
      <c r="B759" s="21" t="n">
        <v>45992</v>
      </c>
      <c r="C759" s="20" t="inlineStr">
        <is>
          <t>C19</t>
        </is>
      </c>
      <c r="D759" s="20" t="inlineStr">
        <is>
          <t>Greenway Markets</t>
        </is>
      </c>
      <c r="E759" s="20" t="inlineStr">
        <is>
          <t>Grocery</t>
        </is>
      </c>
      <c r="F759" s="20" t="inlineStr">
        <is>
          <t>Nut Butter</t>
        </is>
      </c>
      <c r="G759" s="22" t="n">
        <v>849</v>
      </c>
      <c r="H759" s="23" t="n">
        <v>57.25</v>
      </c>
      <c r="I759" s="23" t="n">
        <v>48605.25</v>
      </c>
      <c r="J759" s="23" t="n">
        <v>33535.5</v>
      </c>
      <c r="K759">
        <f>IF(OR(COUNTIF($A$5:A759,A759)&gt;1,G759&lt;0,C759="",B759&lt;'Work 1'!$C$6,B759&gt;'Work 1'!$C$7,H759&gt;'Work 1'!$C$8*AVERAGEIF($F$5:$F$1014,F759,$H$5:$H$1014)),"Excl",IF(B759&gt;='Work 1'!$C$5,"LTM","Prior"))</f>
        <v/>
      </c>
      <c r="L759">
        <f>I759-J759</f>
        <v/>
      </c>
    </row>
    <row r="760" ht="14.25" customHeight="1" s="54">
      <c r="A760" s="20" t="inlineStr">
        <is>
          <t>BH-40753</t>
        </is>
      </c>
      <c r="B760" s="21" t="n">
        <v>45992</v>
      </c>
      <c r="C760" s="20" t="inlineStr">
        <is>
          <t>C19</t>
        </is>
      </c>
      <c r="D760" s="20" t="inlineStr">
        <is>
          <t>Greenway Markets</t>
        </is>
      </c>
      <c r="E760" s="20" t="inlineStr">
        <is>
          <t>Grocery</t>
        </is>
      </c>
      <c r="F760" s="20" t="inlineStr">
        <is>
          <t>Snack Bars</t>
        </is>
      </c>
      <c r="G760" s="22" t="n">
        <v>826</v>
      </c>
      <c r="H760" s="23" t="n">
        <v>33.35</v>
      </c>
      <c r="I760" s="23" t="n">
        <v>27547.1</v>
      </c>
      <c r="J760" s="23" t="n">
        <v>16891.7</v>
      </c>
      <c r="K760">
        <f>IF(OR(COUNTIF($A$5:A760,A760)&gt;1,G760&lt;0,C760="",B760&lt;'Work 1'!$C$6,B760&gt;'Work 1'!$C$7,H760&gt;'Work 1'!$C$8*AVERAGEIF($F$5:$F$1014,F760,$H$5:$H$1014)),"Excl",IF(B760&gt;='Work 1'!$C$5,"LTM","Prior"))</f>
        <v/>
      </c>
      <c r="L760">
        <f>I760-J760</f>
        <v/>
      </c>
    </row>
    <row r="761" ht="14.25" customHeight="1" s="54">
      <c r="A761" s="20" t="inlineStr">
        <is>
          <t>BH-40754</t>
        </is>
      </c>
      <c r="B761" s="21" t="n">
        <v>46023</v>
      </c>
      <c r="C761" s="20" t="inlineStr">
        <is>
          <t>C01</t>
        </is>
      </c>
      <c r="D761" s="20" t="inlineStr">
        <is>
          <t>Northfield Markets</t>
        </is>
      </c>
      <c r="E761" s="20" t="inlineStr">
        <is>
          <t>Grocery</t>
        </is>
      </c>
      <c r="F761" s="20" t="inlineStr">
        <is>
          <t>Granola</t>
        </is>
      </c>
      <c r="G761" s="22" t="n">
        <v>16926</v>
      </c>
      <c r="H761" s="23" t="n">
        <v>39.61</v>
      </c>
      <c r="I761" s="23" t="n">
        <v>670438.86</v>
      </c>
      <c r="J761" s="23" t="n">
        <v>456155.7</v>
      </c>
      <c r="K761">
        <f>IF(OR(COUNTIF($A$5:A761,A761)&gt;1,G761&lt;0,C761="",B761&lt;'Work 1'!$C$6,B761&gt;'Work 1'!$C$7,H761&gt;'Work 1'!$C$8*AVERAGEIF($F$5:$F$1014,F761,$H$5:$H$1014)),"Excl",IF(B761&gt;='Work 1'!$C$5,"LTM","Prior"))</f>
        <v/>
      </c>
      <c r="L761">
        <f>I761-J761</f>
        <v/>
      </c>
    </row>
    <row r="762" ht="14.25" customHeight="1" s="54">
      <c r="A762" s="20" t="inlineStr">
        <is>
          <t>BH-40755</t>
        </is>
      </c>
      <c r="B762" s="21" t="n">
        <v>46023</v>
      </c>
      <c r="C762" s="20" t="inlineStr">
        <is>
          <t>C01</t>
        </is>
      </c>
      <c r="D762" s="20" t="inlineStr">
        <is>
          <t>Northfield Markets</t>
        </is>
      </c>
      <c r="E762" s="20" t="inlineStr">
        <is>
          <t>Grocery</t>
        </is>
      </c>
      <c r="F762" s="20" t="inlineStr">
        <is>
          <t>Nut Butter</t>
        </is>
      </c>
      <c r="G762" s="22" t="n">
        <v>8374</v>
      </c>
      <c r="H762" s="23" t="n">
        <v>52.67</v>
      </c>
      <c r="I762" s="23" t="n">
        <v>441058.58</v>
      </c>
      <c r="J762" s="23" t="n">
        <v>330773</v>
      </c>
      <c r="K762">
        <f>IF(OR(COUNTIF($A$5:A762,A762)&gt;1,G762&lt;0,C762="",B762&lt;'Work 1'!$C$6,B762&gt;'Work 1'!$C$7,H762&gt;'Work 1'!$C$8*AVERAGEIF($F$5:$F$1014,F762,$H$5:$H$1014)),"Excl",IF(B762&gt;='Work 1'!$C$5,"LTM","Prior"))</f>
        <v/>
      </c>
      <c r="L762">
        <f>I762-J762</f>
        <v/>
      </c>
    </row>
    <row r="763" ht="14.25" customHeight="1" s="54">
      <c r="A763" s="20" t="inlineStr">
        <is>
          <t>BH-40756</t>
        </is>
      </c>
      <c r="B763" s="21" t="n">
        <v>46023</v>
      </c>
      <c r="C763" s="20" t="inlineStr">
        <is>
          <t>C01</t>
        </is>
      </c>
      <c r="D763" s="20" t="inlineStr">
        <is>
          <t>Northfield Markets</t>
        </is>
      </c>
      <c r="E763" s="20" t="inlineStr">
        <is>
          <t>Grocery</t>
        </is>
      </c>
      <c r="F763" s="20" t="inlineStr">
        <is>
          <t>Snack Bars</t>
        </is>
      </c>
      <c r="G763" s="22" t="n">
        <v>11497</v>
      </c>
      <c r="H763" s="23" t="n">
        <v>30.68</v>
      </c>
      <c r="I763" s="23" t="n">
        <v>352727.96</v>
      </c>
      <c r="J763" s="23" t="n">
        <v>235113.65</v>
      </c>
      <c r="K763">
        <f>IF(OR(COUNTIF($A$5:A763,A763)&gt;1,G763&lt;0,C763="",B763&lt;'Work 1'!$C$6,B763&gt;'Work 1'!$C$7,H763&gt;'Work 1'!$C$8*AVERAGEIF($F$5:$F$1014,F763,$H$5:$H$1014)),"Excl",IF(B763&gt;='Work 1'!$C$5,"LTM","Prior"))</f>
        <v/>
      </c>
      <c r="L763">
        <f>I763-J763</f>
        <v/>
      </c>
    </row>
    <row r="764" ht="14.25" customHeight="1" s="54">
      <c r="A764" s="20" t="inlineStr">
        <is>
          <t>BH-40757</t>
        </is>
      </c>
      <c r="B764" s="21" t="n">
        <v>46023</v>
      </c>
      <c r="C764" s="20" t="inlineStr">
        <is>
          <t>C02</t>
        </is>
      </c>
      <c r="D764" s="20" t="inlineStr">
        <is>
          <t>Crestline Grocers</t>
        </is>
      </c>
      <c r="E764" s="20" t="inlineStr">
        <is>
          <t>Grocery</t>
        </is>
      </c>
      <c r="F764" s="20" t="inlineStr">
        <is>
          <t>Granola</t>
        </is>
      </c>
      <c r="G764" s="22" t="n">
        <v>4052</v>
      </c>
      <c r="H764" s="23" t="n">
        <v>41.76</v>
      </c>
      <c r="I764" s="23" t="n">
        <v>169211.52</v>
      </c>
      <c r="J764" s="23" t="n">
        <v>109201.4</v>
      </c>
      <c r="K764">
        <f>IF(OR(COUNTIF($A$5:A764,A764)&gt;1,G764&lt;0,C764="",B764&lt;'Work 1'!$C$6,B764&gt;'Work 1'!$C$7,H764&gt;'Work 1'!$C$8*AVERAGEIF($F$5:$F$1014,F764,$H$5:$H$1014)),"Excl",IF(B764&gt;='Work 1'!$C$5,"LTM","Prior"))</f>
        <v/>
      </c>
      <c r="L764">
        <f>I764-J764</f>
        <v/>
      </c>
    </row>
    <row r="765" ht="14.25" customHeight="1" s="54">
      <c r="A765" s="20" t="inlineStr">
        <is>
          <t>BH-40758</t>
        </is>
      </c>
      <c r="B765" s="21" t="n">
        <v>46023</v>
      </c>
      <c r="C765" s="20" t="inlineStr">
        <is>
          <t>C02</t>
        </is>
      </c>
      <c r="D765" s="20" t="inlineStr">
        <is>
          <t>Crestline Grocers</t>
        </is>
      </c>
      <c r="E765" s="20" t="inlineStr">
        <is>
          <t>Grocery</t>
        </is>
      </c>
      <c r="F765" s="20" t="inlineStr">
        <is>
          <t>Nut Butter</t>
        </is>
      </c>
      <c r="G765" s="22" t="n">
        <v>2126</v>
      </c>
      <c r="H765" s="23" t="n">
        <v>55.53</v>
      </c>
      <c r="I765" s="23" t="n">
        <v>118056.78</v>
      </c>
      <c r="J765" s="23" t="n">
        <v>83977</v>
      </c>
      <c r="K765">
        <f>IF(OR(COUNTIF($A$5:A765,A765)&gt;1,G765&lt;0,C765="",B765&lt;'Work 1'!$C$6,B765&gt;'Work 1'!$C$7,H765&gt;'Work 1'!$C$8*AVERAGEIF($F$5:$F$1014,F765,$H$5:$H$1014)),"Excl",IF(B765&gt;='Work 1'!$C$5,"LTM","Prior"))</f>
        <v/>
      </c>
      <c r="L765">
        <f>I765-J765</f>
        <v/>
      </c>
    </row>
    <row r="766" ht="14.25" customHeight="1" s="54">
      <c r="A766" s="20" t="inlineStr">
        <is>
          <t>BH-40759</t>
        </is>
      </c>
      <c r="B766" s="21" t="n">
        <v>46023</v>
      </c>
      <c r="C766" s="20" t="inlineStr">
        <is>
          <t>C02</t>
        </is>
      </c>
      <c r="D766" s="20" t="inlineStr">
        <is>
          <t>Crestline Grocers</t>
        </is>
      </c>
      <c r="E766" s="20" t="inlineStr">
        <is>
          <t>Grocery</t>
        </is>
      </c>
      <c r="F766" s="20" t="inlineStr">
        <is>
          <t>Snack Bars</t>
        </is>
      </c>
      <c r="G766" s="22" t="n">
        <v>3619</v>
      </c>
      <c r="H766" s="23" t="n">
        <v>32.35</v>
      </c>
      <c r="I766" s="23" t="n">
        <v>117074.65</v>
      </c>
      <c r="J766" s="23" t="n">
        <v>74008.55</v>
      </c>
      <c r="K766">
        <f>IF(OR(COUNTIF($A$5:A766,A766)&gt;1,G766&lt;0,C766="",B766&lt;'Work 1'!$C$6,B766&gt;'Work 1'!$C$7,H766&gt;'Work 1'!$C$8*AVERAGEIF($F$5:$F$1014,F766,$H$5:$H$1014)),"Excl",IF(B766&gt;='Work 1'!$C$5,"LTM","Prior"))</f>
        <v/>
      </c>
      <c r="L766">
        <f>I766-J766</f>
        <v/>
      </c>
    </row>
    <row r="767" ht="14.25" customHeight="1" s="54">
      <c r="A767" s="20" t="inlineStr">
        <is>
          <t>BH-40760</t>
        </is>
      </c>
      <c r="B767" s="21" t="n">
        <v>46023</v>
      </c>
      <c r="C767" s="20" t="inlineStr">
        <is>
          <t>C03</t>
        </is>
      </c>
      <c r="D767" s="20" t="inlineStr">
        <is>
          <t>ValuClub Warehouse</t>
        </is>
      </c>
      <c r="E767" s="20" t="inlineStr">
        <is>
          <t>Club</t>
        </is>
      </c>
      <c r="F767" s="20" t="inlineStr">
        <is>
          <t>Granola</t>
        </is>
      </c>
      <c r="G767" s="22" t="n">
        <v>13495</v>
      </c>
      <c r="H767" s="23" t="n">
        <v>36.6</v>
      </c>
      <c r="I767" s="23" t="n">
        <v>493917</v>
      </c>
      <c r="J767" s="23" t="n">
        <v>363690.25</v>
      </c>
      <c r="K767">
        <f>IF(OR(COUNTIF($A$5:A767,A767)&gt;1,G767&lt;0,C767="",B767&lt;'Work 1'!$C$6,B767&gt;'Work 1'!$C$7,H767&gt;'Work 1'!$C$8*AVERAGEIF($F$5:$F$1014,F767,$H$5:$H$1014)),"Excl",IF(B767&gt;='Work 1'!$C$5,"LTM","Prior"))</f>
        <v/>
      </c>
      <c r="L767">
        <f>I767-J767</f>
        <v/>
      </c>
    </row>
    <row r="768" ht="14.25" customHeight="1" s="54">
      <c r="A768" s="20" t="inlineStr">
        <is>
          <t>BH-40761</t>
        </is>
      </c>
      <c r="B768" s="21" t="n">
        <v>46023</v>
      </c>
      <c r="C768" s="20" t="inlineStr">
        <is>
          <t>C03</t>
        </is>
      </c>
      <c r="D768" s="20" t="inlineStr">
        <is>
          <t>ValuClub Warehouse</t>
        </is>
      </c>
      <c r="E768" s="20" t="inlineStr">
        <is>
          <t>Club</t>
        </is>
      </c>
      <c r="F768" s="20" t="inlineStr">
        <is>
          <t>Snack Bars</t>
        </is>
      </c>
      <c r="G768" s="22" t="n">
        <v>15108</v>
      </c>
      <c r="H768" s="23" t="n">
        <v>25.35</v>
      </c>
      <c r="I768" s="23" t="n">
        <v>382987.8</v>
      </c>
      <c r="J768" s="23" t="n">
        <v>308958.6</v>
      </c>
      <c r="K768">
        <f>IF(OR(COUNTIF($A$5:A768,A768)&gt;1,G768&lt;0,C768="",B768&lt;'Work 1'!$C$6,B768&gt;'Work 1'!$C$7,H768&gt;'Work 1'!$C$8*AVERAGEIF($F$5:$F$1014,F768,$H$5:$H$1014)),"Excl",IF(B768&gt;='Work 1'!$C$5,"LTM","Prior"))</f>
        <v/>
      </c>
      <c r="L768">
        <f>I768-J768</f>
        <v/>
      </c>
    </row>
    <row r="769" ht="14.25" customHeight="1" s="54">
      <c r="A769" s="20" t="inlineStr">
        <is>
          <t>BH-40762</t>
        </is>
      </c>
      <c r="B769" s="21" t="n">
        <v>46023</v>
      </c>
      <c r="C769" s="20" t="inlineStr">
        <is>
          <t>C04</t>
        </is>
      </c>
      <c r="D769" s="20" t="inlineStr">
        <is>
          <t>Harvest Lane Co-op</t>
        </is>
      </c>
      <c r="E769" s="20" t="inlineStr">
        <is>
          <t>Grocery</t>
        </is>
      </c>
      <c r="F769" s="20" t="inlineStr">
        <is>
          <t>Granola</t>
        </is>
      </c>
      <c r="G769" s="22" t="n">
        <v>2959</v>
      </c>
      <c r="H769" s="23" t="n">
        <v>43.05</v>
      </c>
      <c r="I769" s="23" t="n">
        <v>127384.95</v>
      </c>
      <c r="J769" s="23" t="n">
        <v>79745.05</v>
      </c>
      <c r="K769">
        <f>IF(OR(COUNTIF($A$5:A769,A769)&gt;1,G769&lt;0,C769="",B769&lt;'Work 1'!$C$6,B769&gt;'Work 1'!$C$7,H769&gt;'Work 1'!$C$8*AVERAGEIF($F$5:$F$1014,F769,$H$5:$H$1014)),"Excl",IF(B769&gt;='Work 1'!$C$5,"LTM","Prior"))</f>
        <v/>
      </c>
      <c r="L769">
        <f>I769-J769</f>
        <v/>
      </c>
    </row>
    <row r="770" ht="14.25" customHeight="1" s="54">
      <c r="A770" s="20" t="inlineStr">
        <is>
          <t>BH-40763</t>
        </is>
      </c>
      <c r="B770" s="21" t="n">
        <v>46023</v>
      </c>
      <c r="C770" s="20" t="inlineStr">
        <is>
          <t>C04</t>
        </is>
      </c>
      <c r="D770" s="20" t="inlineStr">
        <is>
          <t>Harvest Lane Co-op</t>
        </is>
      </c>
      <c r="E770" s="20" t="inlineStr">
        <is>
          <t>Grocery</t>
        </is>
      </c>
      <c r="F770" s="20" t="inlineStr">
        <is>
          <t>Nut Butter</t>
        </is>
      </c>
      <c r="G770" s="22" t="n">
        <v>1565</v>
      </c>
      <c r="H770" s="23" t="n">
        <v>57.25</v>
      </c>
      <c r="I770" s="23" t="n">
        <v>89596.25</v>
      </c>
      <c r="J770" s="23" t="n">
        <v>61817.5</v>
      </c>
      <c r="K770">
        <f>IF(OR(COUNTIF($A$5:A770,A770)&gt;1,G770&lt;0,C770="",B770&lt;'Work 1'!$C$6,B770&gt;'Work 1'!$C$7,H770&gt;'Work 1'!$C$8*AVERAGEIF($F$5:$F$1014,F770,$H$5:$H$1014)),"Excl",IF(B770&gt;='Work 1'!$C$5,"LTM","Prior"))</f>
        <v/>
      </c>
      <c r="L770">
        <f>I770-J770</f>
        <v/>
      </c>
    </row>
    <row r="771" ht="14.25" customHeight="1" s="54">
      <c r="A771" s="20" t="inlineStr">
        <is>
          <t>BH-40764</t>
        </is>
      </c>
      <c r="B771" s="21" t="n">
        <v>46023</v>
      </c>
      <c r="C771" s="20" t="inlineStr">
        <is>
          <t>C04</t>
        </is>
      </c>
      <c r="D771" s="20" t="inlineStr">
        <is>
          <t>Harvest Lane Co-op</t>
        </is>
      </c>
      <c r="E771" s="20" t="inlineStr">
        <is>
          <t>Grocery</t>
        </is>
      </c>
      <c r="F771" s="20" t="inlineStr">
        <is>
          <t>Snack Bars</t>
        </is>
      </c>
      <c r="G771" s="22" t="n">
        <v>1903</v>
      </c>
      <c r="H771" s="23" t="n">
        <v>33.35</v>
      </c>
      <c r="I771" s="23" t="n">
        <v>63465.05</v>
      </c>
      <c r="J771" s="23" t="n">
        <v>38916.35</v>
      </c>
      <c r="K771">
        <f>IF(OR(COUNTIF($A$5:A771,A771)&gt;1,G771&lt;0,C771="",B771&lt;'Work 1'!$C$6,B771&gt;'Work 1'!$C$7,H771&gt;'Work 1'!$C$8*AVERAGEIF($F$5:$F$1014,F771,$H$5:$H$1014)),"Excl",IF(B771&gt;='Work 1'!$C$5,"LTM","Prior"))</f>
        <v/>
      </c>
      <c r="L771">
        <f>I771-J771</f>
        <v/>
      </c>
    </row>
    <row r="772" ht="14.25" customHeight="1" s="54">
      <c r="A772" s="20" t="inlineStr">
        <is>
          <t>BH-40765</t>
        </is>
      </c>
      <c r="B772" s="21" t="n">
        <v>46023</v>
      </c>
      <c r="C772" s="20" t="inlineStr">
        <is>
          <t>C05</t>
        </is>
      </c>
      <c r="D772" s="20" t="inlineStr">
        <is>
          <t>Pioneer Foods Distribution</t>
        </is>
      </c>
      <c r="E772" s="20" t="inlineStr">
        <is>
          <t>Grocery</t>
        </is>
      </c>
      <c r="F772" s="20" t="inlineStr">
        <is>
          <t>Granola</t>
        </is>
      </c>
      <c r="G772" s="22" t="n">
        <v>3392</v>
      </c>
      <c r="H772" s="23" t="n">
        <v>38.74</v>
      </c>
      <c r="I772" s="23" t="n">
        <v>131406.08</v>
      </c>
      <c r="J772" s="23" t="n">
        <v>91414.39999999999</v>
      </c>
      <c r="K772">
        <f>IF(OR(COUNTIF($A$5:A772,A772)&gt;1,G772&lt;0,C772="",B772&lt;'Work 1'!$C$6,B772&gt;'Work 1'!$C$7,H772&gt;'Work 1'!$C$8*AVERAGEIF($F$5:$F$1014,F772,$H$5:$H$1014)),"Excl",IF(B772&gt;='Work 1'!$C$5,"LTM","Prior"))</f>
        <v/>
      </c>
      <c r="L772">
        <f>I772-J772</f>
        <v/>
      </c>
    </row>
    <row r="773" ht="14.25" customHeight="1" s="54">
      <c r="A773" s="20" t="inlineStr">
        <is>
          <t>BH-40766</t>
        </is>
      </c>
      <c r="B773" s="21" t="n">
        <v>46023</v>
      </c>
      <c r="C773" s="20" t="inlineStr">
        <is>
          <t>C05</t>
        </is>
      </c>
      <c r="D773" s="20" t="inlineStr">
        <is>
          <t>Pioneer Foods Distribution</t>
        </is>
      </c>
      <c r="E773" s="20" t="inlineStr">
        <is>
          <t>Grocery</t>
        </is>
      </c>
      <c r="F773" s="20" t="inlineStr">
        <is>
          <t>Nut Butter</t>
        </is>
      </c>
      <c r="G773" s="22" t="n">
        <v>2071</v>
      </c>
      <c r="H773" s="23" t="n">
        <v>51.52</v>
      </c>
      <c r="I773" s="23" t="n">
        <v>106697.92</v>
      </c>
      <c r="J773" s="23" t="n">
        <v>81804.5</v>
      </c>
      <c r="K773">
        <f>IF(OR(COUNTIF($A$5:A773,A773)&gt;1,G773&lt;0,C773="",B773&lt;'Work 1'!$C$6,B773&gt;'Work 1'!$C$7,H773&gt;'Work 1'!$C$8*AVERAGEIF($F$5:$F$1014,F773,$H$5:$H$1014)),"Excl",IF(B773&gt;='Work 1'!$C$5,"LTM","Prior"))</f>
        <v/>
      </c>
      <c r="L773">
        <f>I773-J773</f>
        <v/>
      </c>
    </row>
    <row r="774" ht="14.25" customHeight="1" s="54">
      <c r="A774" s="20" t="inlineStr">
        <is>
          <t>BH-40767</t>
        </is>
      </c>
      <c r="B774" s="21" t="n">
        <v>46023</v>
      </c>
      <c r="C774" s="20" t="inlineStr">
        <is>
          <t>C05</t>
        </is>
      </c>
      <c r="D774" s="20" t="inlineStr">
        <is>
          <t>Pioneer Foods Distribution</t>
        </is>
      </c>
      <c r="E774" s="20" t="inlineStr">
        <is>
          <t>Grocery</t>
        </is>
      </c>
      <c r="F774" s="20" t="inlineStr">
        <is>
          <t>Snack Bars</t>
        </is>
      </c>
      <c r="G774" s="22" t="n">
        <v>3171</v>
      </c>
      <c r="H774" s="23" t="n">
        <v>30.02</v>
      </c>
      <c r="I774" s="23" t="n">
        <v>95193.42</v>
      </c>
      <c r="J774" s="23" t="n">
        <v>64846.95</v>
      </c>
      <c r="K774">
        <f>IF(OR(COUNTIF($A$5:A774,A774)&gt;1,G774&lt;0,C774="",B774&lt;'Work 1'!$C$6,B774&gt;'Work 1'!$C$7,H774&gt;'Work 1'!$C$8*AVERAGEIF($F$5:$F$1014,F774,$H$5:$H$1014)),"Excl",IF(B774&gt;='Work 1'!$C$5,"LTM","Prior"))</f>
        <v/>
      </c>
      <c r="L774">
        <f>I774-J774</f>
        <v/>
      </c>
    </row>
    <row r="775" ht="14.25" customHeight="1" s="54">
      <c r="A775" s="20" t="inlineStr">
        <is>
          <t>BH-40768</t>
        </is>
      </c>
      <c r="B775" s="21" t="n">
        <v>46023</v>
      </c>
      <c r="C775" s="20" t="inlineStr">
        <is>
          <t>C06</t>
        </is>
      </c>
      <c r="D775" s="20" t="inlineStr">
        <is>
          <t>Summit Club Stores</t>
        </is>
      </c>
      <c r="E775" s="20" t="inlineStr">
        <is>
          <t>Club</t>
        </is>
      </c>
      <c r="F775" s="20" t="inlineStr">
        <is>
          <t>Granola</t>
        </is>
      </c>
      <c r="G775" s="22" t="n">
        <v>5279</v>
      </c>
      <c r="H775" s="23" t="n">
        <v>36.6</v>
      </c>
      <c r="I775" s="23" t="n">
        <v>193211.4</v>
      </c>
      <c r="J775" s="23" t="n">
        <v>142269.05</v>
      </c>
      <c r="K775">
        <f>IF(OR(COUNTIF($A$5:A775,A775)&gt;1,G775&lt;0,C775="",B775&lt;'Work 1'!$C$6,B775&gt;'Work 1'!$C$7,H775&gt;'Work 1'!$C$8*AVERAGEIF($F$5:$F$1014,F775,$H$5:$H$1014)),"Excl",IF(B775&gt;='Work 1'!$C$5,"LTM","Prior"))</f>
        <v/>
      </c>
      <c r="L775">
        <f>I775-J775</f>
        <v/>
      </c>
    </row>
    <row r="776" ht="14.25" customHeight="1" s="54">
      <c r="A776" s="20" t="inlineStr">
        <is>
          <t>BH-40769</t>
        </is>
      </c>
      <c r="B776" s="21" t="n">
        <v>46023</v>
      </c>
      <c r="C776" s="20" t="inlineStr">
        <is>
          <t>C06</t>
        </is>
      </c>
      <c r="D776" s="20" t="inlineStr">
        <is>
          <t>Summit Club Stores</t>
        </is>
      </c>
      <c r="E776" s="20" t="inlineStr">
        <is>
          <t>Club</t>
        </is>
      </c>
      <c r="F776" s="20" t="inlineStr">
        <is>
          <t>Nut Butter</t>
        </is>
      </c>
      <c r="G776" s="22" t="n">
        <v>2856</v>
      </c>
      <c r="H776" s="23" t="n">
        <v>48.75</v>
      </c>
      <c r="I776" s="23" t="n">
        <v>139230</v>
      </c>
      <c r="J776" s="23" t="n">
        <v>112812</v>
      </c>
      <c r="K776">
        <f>IF(OR(COUNTIF($A$5:A776,A776)&gt;1,G776&lt;0,C776="",B776&lt;'Work 1'!$C$6,B776&gt;'Work 1'!$C$7,H776&gt;'Work 1'!$C$8*AVERAGEIF($F$5:$F$1014,F776,$H$5:$H$1014)),"Excl",IF(B776&gt;='Work 1'!$C$5,"LTM","Prior"))</f>
        <v/>
      </c>
      <c r="L776">
        <f>I776-J776</f>
        <v/>
      </c>
    </row>
    <row r="777" ht="14.25" customHeight="1" s="54">
      <c r="A777" s="20" t="inlineStr">
        <is>
          <t>BH-40770</t>
        </is>
      </c>
      <c r="B777" s="21" t="n">
        <v>46023</v>
      </c>
      <c r="C777" s="20" t="inlineStr">
        <is>
          <t>C07</t>
        </is>
      </c>
      <c r="D777" s="20" t="inlineStr">
        <is>
          <t>Bramble Hill Online Store</t>
        </is>
      </c>
      <c r="E777" s="20" t="inlineStr">
        <is>
          <t>Online</t>
        </is>
      </c>
      <c r="F777" s="20" t="inlineStr">
        <is>
          <t>Granola</t>
        </is>
      </c>
      <c r="G777" s="22" t="n">
        <v>3813</v>
      </c>
      <c r="H777" s="23" t="n">
        <v>49.4</v>
      </c>
      <c r="I777" s="23" t="n">
        <v>188362.2</v>
      </c>
      <c r="J777" s="23" t="n">
        <v>102760.35</v>
      </c>
      <c r="K777">
        <f>IF(OR(COUNTIF($A$5:A777,A777)&gt;1,G777&lt;0,C777="",B777&lt;'Work 1'!$C$6,B777&gt;'Work 1'!$C$7,H777&gt;'Work 1'!$C$8*AVERAGEIF($F$5:$F$1014,F777,$H$5:$H$1014)),"Excl",IF(B777&gt;='Work 1'!$C$5,"LTM","Prior"))</f>
        <v/>
      </c>
      <c r="L777">
        <f>I777-J777</f>
        <v/>
      </c>
    </row>
    <row r="778" ht="14.25" customHeight="1" s="54">
      <c r="A778" s="20" t="inlineStr">
        <is>
          <t>BH-40771</t>
        </is>
      </c>
      <c r="B778" s="21" t="n">
        <v>46023</v>
      </c>
      <c r="C778" s="20" t="inlineStr">
        <is>
          <t>C07</t>
        </is>
      </c>
      <c r="D778" s="20" t="inlineStr">
        <is>
          <t>Bramble Hill Online Store</t>
        </is>
      </c>
      <c r="E778" s="20" t="inlineStr">
        <is>
          <t>Online</t>
        </is>
      </c>
      <c r="F778" s="20" t="inlineStr">
        <is>
          <t>Nut Butter</t>
        </is>
      </c>
      <c r="G778" s="22" t="n">
        <v>2133</v>
      </c>
      <c r="H778" s="23" t="n">
        <v>64.40000000000001</v>
      </c>
      <c r="I778" s="23" t="n">
        <v>137365.2</v>
      </c>
      <c r="J778" s="23" t="n">
        <v>84253.5</v>
      </c>
      <c r="K778">
        <f>IF(OR(COUNTIF($A$5:A778,A778)&gt;1,G778&lt;0,C778="",B778&lt;'Work 1'!$C$6,B778&gt;'Work 1'!$C$7,H778&gt;'Work 1'!$C$8*AVERAGEIF($F$5:$F$1014,F778,$H$5:$H$1014)),"Excl",IF(B778&gt;='Work 1'!$C$5,"LTM","Prior"))</f>
        <v/>
      </c>
      <c r="L778">
        <f>I778-J778</f>
        <v/>
      </c>
    </row>
    <row r="779" ht="14.25" customHeight="1" s="54">
      <c r="A779" s="20" t="inlineStr">
        <is>
          <t>BH-40772</t>
        </is>
      </c>
      <c r="B779" s="21" t="n">
        <v>46023</v>
      </c>
      <c r="C779" s="20" t="inlineStr">
        <is>
          <t>C07</t>
        </is>
      </c>
      <c r="D779" s="20" t="inlineStr">
        <is>
          <t>Bramble Hill Online Store</t>
        </is>
      </c>
      <c r="E779" s="20" t="inlineStr">
        <is>
          <t>Online</t>
        </is>
      </c>
      <c r="F779" s="20" t="inlineStr">
        <is>
          <t>Snack Bars</t>
        </is>
      </c>
      <c r="G779" s="22" t="n">
        <v>2796</v>
      </c>
      <c r="H779" s="23" t="n">
        <v>39.3</v>
      </c>
      <c r="I779" s="23" t="n">
        <v>109882.8</v>
      </c>
      <c r="J779" s="23" t="n">
        <v>57178.2</v>
      </c>
      <c r="K779">
        <f>IF(OR(COUNTIF($A$5:A779,A779)&gt;1,G779&lt;0,C779="",B779&lt;'Work 1'!$C$6,B779&gt;'Work 1'!$C$7,H779&gt;'Work 1'!$C$8*AVERAGEIF($F$5:$F$1014,F779,$H$5:$H$1014)),"Excl",IF(B779&gt;='Work 1'!$C$5,"LTM","Prior"))</f>
        <v/>
      </c>
      <c r="L779">
        <f>I779-J779</f>
        <v/>
      </c>
    </row>
    <row r="780" ht="14.25" customHeight="1" s="54">
      <c r="A780" s="20" t="inlineStr">
        <is>
          <t>BH-40773</t>
        </is>
      </c>
      <c r="B780" s="21" t="n">
        <v>46023</v>
      </c>
      <c r="C780" s="20" t="inlineStr">
        <is>
          <t>C08</t>
        </is>
      </c>
      <c r="D780" s="20" t="inlineStr">
        <is>
          <t>Online Marketplace</t>
        </is>
      </c>
      <c r="E780" s="20" t="inlineStr">
        <is>
          <t>Online</t>
        </is>
      </c>
      <c r="F780" s="20" t="inlineStr">
        <is>
          <t>Granola</t>
        </is>
      </c>
      <c r="G780" s="22" t="n">
        <v>4153</v>
      </c>
      <c r="H780" s="23" t="n">
        <v>43.47</v>
      </c>
      <c r="I780" s="23" t="n">
        <v>180530.91</v>
      </c>
      <c r="J780" s="23" t="n">
        <v>111923.35</v>
      </c>
      <c r="K780">
        <f>IF(OR(COUNTIF($A$5:A780,A780)&gt;1,G780&lt;0,C780="",B780&lt;'Work 1'!$C$6,B780&gt;'Work 1'!$C$7,H780&gt;'Work 1'!$C$8*AVERAGEIF($F$5:$F$1014,F780,$H$5:$H$1014)),"Excl",IF(B780&gt;='Work 1'!$C$5,"LTM","Prior"))</f>
        <v/>
      </c>
      <c r="L780">
        <f>I780-J780</f>
        <v/>
      </c>
    </row>
    <row r="781" ht="14.25" customHeight="1" s="54">
      <c r="A781" s="20" t="inlineStr">
        <is>
          <t>BH-40774</t>
        </is>
      </c>
      <c r="B781" s="21" t="n">
        <v>46023</v>
      </c>
      <c r="C781" s="20" t="inlineStr">
        <is>
          <t>C08</t>
        </is>
      </c>
      <c r="D781" s="20" t="inlineStr">
        <is>
          <t>Online Marketplace</t>
        </is>
      </c>
      <c r="E781" s="20" t="inlineStr">
        <is>
          <t>Online</t>
        </is>
      </c>
      <c r="F781" s="20" t="inlineStr">
        <is>
          <t>Nut Butter</t>
        </is>
      </c>
      <c r="G781" s="22" t="n">
        <v>2090</v>
      </c>
      <c r="H781" s="23" t="n">
        <v>56.67</v>
      </c>
      <c r="I781" s="23" t="n">
        <v>118440.3</v>
      </c>
      <c r="J781" s="23" t="n">
        <v>82555</v>
      </c>
      <c r="K781">
        <f>IF(OR(COUNTIF($A$5:A781,A781)&gt;1,G781&lt;0,C781="",B781&lt;'Work 1'!$C$6,B781&gt;'Work 1'!$C$7,H781&gt;'Work 1'!$C$8*AVERAGEIF($F$5:$F$1014,F781,$H$5:$H$1014)),"Excl",IF(B781&gt;='Work 1'!$C$5,"LTM","Prior"))</f>
        <v/>
      </c>
      <c r="L781">
        <f>I781-J781</f>
        <v/>
      </c>
    </row>
    <row r="782" ht="14.25" customHeight="1" s="54">
      <c r="A782" s="20" t="inlineStr">
        <is>
          <t>BH-40775</t>
        </is>
      </c>
      <c r="B782" s="21" t="n">
        <v>46023</v>
      </c>
      <c r="C782" s="20" t="inlineStr">
        <is>
          <t>C08</t>
        </is>
      </c>
      <c r="D782" s="20" t="inlineStr">
        <is>
          <t>Online Marketplace</t>
        </is>
      </c>
      <c r="E782" s="20" t="inlineStr">
        <is>
          <t>Online</t>
        </is>
      </c>
      <c r="F782" s="20" t="inlineStr">
        <is>
          <t>Snack Bars</t>
        </is>
      </c>
      <c r="G782" s="22" t="n">
        <v>3406</v>
      </c>
      <c r="H782" s="23" t="n">
        <v>34.58</v>
      </c>
      <c r="I782" s="23" t="n">
        <v>117779.48</v>
      </c>
      <c r="J782" s="23" t="n">
        <v>69652.7</v>
      </c>
      <c r="K782">
        <f>IF(OR(COUNTIF($A$5:A782,A782)&gt;1,G782&lt;0,C782="",B782&lt;'Work 1'!$C$6,B782&gt;'Work 1'!$C$7,H782&gt;'Work 1'!$C$8*AVERAGEIF($F$5:$F$1014,F782,$H$5:$H$1014)),"Excl",IF(B782&gt;='Work 1'!$C$5,"LTM","Prior"))</f>
        <v/>
      </c>
      <c r="L782">
        <f>I782-J782</f>
        <v/>
      </c>
    </row>
    <row r="783" ht="14.25" customHeight="1" s="54">
      <c r="A783" s="20" t="inlineStr">
        <is>
          <t>BH-40776</t>
        </is>
      </c>
      <c r="B783" s="21" t="n">
        <v>46023</v>
      </c>
      <c r="C783" s="20" t="inlineStr">
        <is>
          <t>C09</t>
        </is>
      </c>
      <c r="D783" s="20" t="inlineStr">
        <is>
          <t>Maple Ridge Grocers</t>
        </is>
      </c>
      <c r="E783" s="20" t="inlineStr">
        <is>
          <t>Grocery</t>
        </is>
      </c>
      <c r="F783" s="20" t="inlineStr">
        <is>
          <t>Granola</t>
        </is>
      </c>
      <c r="G783" s="22" t="n">
        <v>1730</v>
      </c>
      <c r="H783" s="23" t="n">
        <v>43.05</v>
      </c>
      <c r="I783" s="23" t="n">
        <v>74476.5</v>
      </c>
      <c r="J783" s="23" t="n">
        <v>46623.5</v>
      </c>
      <c r="K783">
        <f>IF(OR(COUNTIF($A$5:A783,A783)&gt;1,G783&lt;0,C783="",B783&lt;'Work 1'!$C$6,B783&gt;'Work 1'!$C$7,H783&gt;'Work 1'!$C$8*AVERAGEIF($F$5:$F$1014,F783,$H$5:$H$1014)),"Excl",IF(B783&gt;='Work 1'!$C$5,"LTM","Prior"))</f>
        <v/>
      </c>
      <c r="L783">
        <f>I783-J783</f>
        <v/>
      </c>
    </row>
    <row r="784" ht="14.25" customHeight="1" s="54">
      <c r="A784" s="20" t="inlineStr">
        <is>
          <t>BH-40777</t>
        </is>
      </c>
      <c r="B784" s="21" t="n">
        <v>46023</v>
      </c>
      <c r="C784" s="20" t="inlineStr">
        <is>
          <t>C09</t>
        </is>
      </c>
      <c r="D784" s="20" t="inlineStr">
        <is>
          <t>Maple Ridge Grocers</t>
        </is>
      </c>
      <c r="E784" s="20" t="inlineStr">
        <is>
          <t>Grocery</t>
        </is>
      </c>
      <c r="F784" s="20" t="inlineStr">
        <is>
          <t>Snack Bars</t>
        </is>
      </c>
      <c r="G784" s="22" t="n">
        <v>1417</v>
      </c>
      <c r="H784" s="23" t="n">
        <v>33.35</v>
      </c>
      <c r="I784" s="23" t="n">
        <v>47256.95</v>
      </c>
      <c r="J784" s="23" t="n">
        <v>28977.65</v>
      </c>
      <c r="K784">
        <f>IF(OR(COUNTIF($A$5:A784,A784)&gt;1,G784&lt;0,C784="",B784&lt;'Work 1'!$C$6,B784&gt;'Work 1'!$C$7,H784&gt;'Work 1'!$C$8*AVERAGEIF($F$5:$F$1014,F784,$H$5:$H$1014)),"Excl",IF(B784&gt;='Work 1'!$C$5,"LTM","Prior"))</f>
        <v/>
      </c>
      <c r="L784">
        <f>I784-J784</f>
        <v/>
      </c>
    </row>
    <row r="785" ht="14.25" customHeight="1" s="54">
      <c r="A785" s="20" t="inlineStr">
        <is>
          <t>BH-40778</t>
        </is>
      </c>
      <c r="B785" s="21" t="n">
        <v>46023</v>
      </c>
      <c r="C785" s="20" t="inlineStr">
        <is>
          <t>C10</t>
        </is>
      </c>
      <c r="D785" s="20" t="inlineStr">
        <is>
          <t>Lakeshore Foods</t>
        </is>
      </c>
      <c r="E785" s="20" t="inlineStr">
        <is>
          <t>Grocery</t>
        </is>
      </c>
      <c r="F785" s="20" t="inlineStr">
        <is>
          <t>Granola</t>
        </is>
      </c>
      <c r="G785" s="22" t="n">
        <v>1438</v>
      </c>
      <c r="H785" s="23" t="n">
        <v>43.05</v>
      </c>
      <c r="I785" s="23" t="n">
        <v>61905.9</v>
      </c>
      <c r="J785" s="23" t="n">
        <v>38754.1</v>
      </c>
      <c r="K785">
        <f>IF(OR(COUNTIF($A$5:A785,A785)&gt;1,G785&lt;0,C785="",B785&lt;'Work 1'!$C$6,B785&gt;'Work 1'!$C$7,H785&gt;'Work 1'!$C$8*AVERAGEIF($F$5:$F$1014,F785,$H$5:$H$1014)),"Excl",IF(B785&gt;='Work 1'!$C$5,"LTM","Prior"))</f>
        <v/>
      </c>
      <c r="L785">
        <f>I785-J785</f>
        <v/>
      </c>
    </row>
    <row r="786" ht="14.25" customHeight="1" s="54">
      <c r="A786" s="20" t="inlineStr">
        <is>
          <t>BH-40779</t>
        </is>
      </c>
      <c r="B786" s="21" t="n">
        <v>46023</v>
      </c>
      <c r="C786" s="20" t="inlineStr">
        <is>
          <t>C10</t>
        </is>
      </c>
      <c r="D786" s="20" t="inlineStr">
        <is>
          <t>Lakeshore Foods</t>
        </is>
      </c>
      <c r="E786" s="20" t="inlineStr">
        <is>
          <t>Grocery</t>
        </is>
      </c>
      <c r="F786" s="20" t="inlineStr">
        <is>
          <t>Nut Butter</t>
        </is>
      </c>
      <c r="G786" s="22" t="n">
        <v>632</v>
      </c>
      <c r="H786" s="23" t="n">
        <v>57.25</v>
      </c>
      <c r="I786" s="23" t="n">
        <v>36182</v>
      </c>
      <c r="J786" s="23" t="n">
        <v>24964</v>
      </c>
      <c r="K786">
        <f>IF(OR(COUNTIF($A$5:A786,A786)&gt;1,G786&lt;0,C786="",B786&lt;'Work 1'!$C$6,B786&gt;'Work 1'!$C$7,H786&gt;'Work 1'!$C$8*AVERAGEIF($F$5:$F$1014,F786,$H$5:$H$1014)),"Excl",IF(B786&gt;='Work 1'!$C$5,"LTM","Prior"))</f>
        <v/>
      </c>
      <c r="L786">
        <f>I786-J786</f>
        <v/>
      </c>
    </row>
    <row r="787" ht="14.25" customHeight="1" s="54">
      <c r="A787" s="20" t="inlineStr">
        <is>
          <t>BH-40780</t>
        </is>
      </c>
      <c r="B787" s="21" t="n">
        <v>46023</v>
      </c>
      <c r="C787" s="20" t="inlineStr">
        <is>
          <t>C11</t>
        </is>
      </c>
      <c r="D787" s="20" t="inlineStr">
        <is>
          <t>Copper Valley Market</t>
        </is>
      </c>
      <c r="E787" s="20" t="inlineStr">
        <is>
          <t>Grocery</t>
        </is>
      </c>
      <c r="F787" s="20" t="inlineStr">
        <is>
          <t>Granola</t>
        </is>
      </c>
      <c r="G787" s="22" t="n">
        <v>1301</v>
      </c>
      <c r="H787" s="23" t="n">
        <v>43.05</v>
      </c>
      <c r="I787" s="23" t="n">
        <v>56008.05</v>
      </c>
      <c r="J787" s="23" t="n">
        <v>35061.95</v>
      </c>
      <c r="K787">
        <f>IF(OR(COUNTIF($A$5:A787,A787)&gt;1,G787&lt;0,C787="",B787&lt;'Work 1'!$C$6,B787&gt;'Work 1'!$C$7,H787&gt;'Work 1'!$C$8*AVERAGEIF($F$5:$F$1014,F787,$H$5:$H$1014)),"Excl",IF(B787&gt;='Work 1'!$C$5,"LTM","Prior"))</f>
        <v/>
      </c>
      <c r="L787">
        <f>I787-J787</f>
        <v/>
      </c>
    </row>
    <row r="788" ht="14.25" customHeight="1" s="54">
      <c r="A788" s="20" t="inlineStr">
        <is>
          <t>BH-40781</t>
        </is>
      </c>
      <c r="B788" s="21" t="n">
        <v>46023</v>
      </c>
      <c r="C788" s="20" t="inlineStr">
        <is>
          <t>C11</t>
        </is>
      </c>
      <c r="D788" s="20" t="inlineStr">
        <is>
          <t>Copper Valley Market</t>
        </is>
      </c>
      <c r="E788" s="20" t="inlineStr">
        <is>
          <t>Grocery</t>
        </is>
      </c>
      <c r="F788" s="20" t="inlineStr">
        <is>
          <t>Snack Bars</t>
        </is>
      </c>
      <c r="G788" s="22" t="n">
        <v>1452</v>
      </c>
      <c r="H788" s="23" t="n">
        <v>33.35</v>
      </c>
      <c r="I788" s="23" t="n">
        <v>48424.2</v>
      </c>
      <c r="J788" s="23" t="n">
        <v>29693.4</v>
      </c>
      <c r="K788">
        <f>IF(OR(COUNTIF($A$5:A788,A788)&gt;1,G788&lt;0,C788="",B788&lt;'Work 1'!$C$6,B788&gt;'Work 1'!$C$7,H788&gt;'Work 1'!$C$8*AVERAGEIF($F$5:$F$1014,F788,$H$5:$H$1014)),"Excl",IF(B788&gt;='Work 1'!$C$5,"LTM","Prior"))</f>
        <v/>
      </c>
      <c r="L788">
        <f>I788-J788</f>
        <v/>
      </c>
    </row>
    <row r="789" ht="14.25" customHeight="1" s="54">
      <c r="A789" s="20" t="inlineStr">
        <is>
          <t>BH-40782</t>
        </is>
      </c>
      <c r="B789" s="21" t="n">
        <v>46023</v>
      </c>
      <c r="C789" s="20" t="inlineStr">
        <is>
          <t>C12</t>
        </is>
      </c>
      <c r="D789" s="20" t="inlineStr">
        <is>
          <t>Riverbend Grocery</t>
        </is>
      </c>
      <c r="E789" s="20" t="inlineStr">
        <is>
          <t>Grocery</t>
        </is>
      </c>
      <c r="F789" s="20" t="inlineStr">
        <is>
          <t>Granola</t>
        </is>
      </c>
      <c r="G789" s="22" t="n">
        <v>1938</v>
      </c>
      <c r="H789" s="23" t="n">
        <v>43.05</v>
      </c>
      <c r="I789" s="23" t="n">
        <v>83430.89999999999</v>
      </c>
      <c r="J789" s="23" t="n">
        <v>52229.1</v>
      </c>
      <c r="K789">
        <f>IF(OR(COUNTIF($A$5:A789,A789)&gt;1,G789&lt;0,C789="",B789&lt;'Work 1'!$C$6,B789&gt;'Work 1'!$C$7,H789&gt;'Work 1'!$C$8*AVERAGEIF($F$5:$F$1014,F789,$H$5:$H$1014)),"Excl",IF(B789&gt;='Work 1'!$C$5,"LTM","Prior"))</f>
        <v/>
      </c>
      <c r="L789">
        <f>I789-J789</f>
        <v/>
      </c>
    </row>
    <row r="790" ht="14.25" customHeight="1" s="54">
      <c r="A790" s="20" t="inlineStr">
        <is>
          <t>BH-40783</t>
        </is>
      </c>
      <c r="B790" s="21" t="n">
        <v>46023</v>
      </c>
      <c r="C790" s="20" t="inlineStr">
        <is>
          <t>C12</t>
        </is>
      </c>
      <c r="D790" s="20" t="inlineStr">
        <is>
          <t>Riverbend Grocery</t>
        </is>
      </c>
      <c r="E790" s="20" t="inlineStr">
        <is>
          <t>Grocery</t>
        </is>
      </c>
      <c r="F790" s="20" t="inlineStr">
        <is>
          <t>Nut Butter</t>
        </is>
      </c>
      <c r="G790" s="22" t="n">
        <v>799</v>
      </c>
      <c r="H790" s="23" t="n">
        <v>57.25</v>
      </c>
      <c r="I790" s="23" t="n">
        <v>45742.75</v>
      </c>
      <c r="J790" s="23" t="n">
        <v>31560.5</v>
      </c>
      <c r="K790">
        <f>IF(OR(COUNTIF($A$5:A790,A790)&gt;1,G790&lt;0,C790="",B790&lt;'Work 1'!$C$6,B790&gt;'Work 1'!$C$7,H790&gt;'Work 1'!$C$8*AVERAGEIF($F$5:$F$1014,F790,$H$5:$H$1014)),"Excl",IF(B790&gt;='Work 1'!$C$5,"LTM","Prior"))</f>
        <v/>
      </c>
      <c r="L790">
        <f>I790-J790</f>
        <v/>
      </c>
    </row>
    <row r="791" ht="14.25" customHeight="1" s="54">
      <c r="A791" s="20" t="inlineStr">
        <is>
          <t>BH-40784</t>
        </is>
      </c>
      <c r="B791" s="21" t="n">
        <v>46023</v>
      </c>
      <c r="C791" s="20" t="inlineStr">
        <is>
          <t>C13</t>
        </is>
      </c>
      <c r="D791" s="20" t="inlineStr">
        <is>
          <t>Sunfield Markets</t>
        </is>
      </c>
      <c r="E791" s="20" t="inlineStr">
        <is>
          <t>Grocery</t>
        </is>
      </c>
      <c r="F791" s="20" t="inlineStr">
        <is>
          <t>Granola</t>
        </is>
      </c>
      <c r="G791" s="22" t="n">
        <v>1099</v>
      </c>
      <c r="H791" s="23" t="n">
        <v>43.05</v>
      </c>
      <c r="I791" s="23" t="n">
        <v>47311.95</v>
      </c>
      <c r="J791" s="23" t="n">
        <v>29618.05</v>
      </c>
      <c r="K791">
        <f>IF(OR(COUNTIF($A$5:A791,A791)&gt;1,G791&lt;0,C791="",B791&lt;'Work 1'!$C$6,B791&gt;'Work 1'!$C$7,H791&gt;'Work 1'!$C$8*AVERAGEIF($F$5:$F$1014,F791,$H$5:$H$1014)),"Excl",IF(B791&gt;='Work 1'!$C$5,"LTM","Prior"))</f>
        <v/>
      </c>
      <c r="L791">
        <f>I791-J791</f>
        <v/>
      </c>
    </row>
    <row r="792" ht="14.25" customHeight="1" s="54">
      <c r="A792" s="20" t="inlineStr">
        <is>
          <t>BH-40785</t>
        </is>
      </c>
      <c r="B792" s="21" t="n">
        <v>46023</v>
      </c>
      <c r="C792" s="20" t="inlineStr">
        <is>
          <t>C13</t>
        </is>
      </c>
      <c r="D792" s="20" t="inlineStr">
        <is>
          <t>Sunfield Markets</t>
        </is>
      </c>
      <c r="E792" s="20" t="inlineStr">
        <is>
          <t>Grocery</t>
        </is>
      </c>
      <c r="F792" s="20" t="inlineStr">
        <is>
          <t>Snack Bars</t>
        </is>
      </c>
      <c r="G792" s="22" t="n">
        <v>1172</v>
      </c>
      <c r="H792" s="23" t="n">
        <v>33.35</v>
      </c>
      <c r="I792" s="23" t="n">
        <v>39086.2</v>
      </c>
      <c r="J792" s="23" t="n">
        <v>23967.4</v>
      </c>
      <c r="K792">
        <f>IF(OR(COUNTIF($A$5:A792,A792)&gt;1,G792&lt;0,C792="",B792&lt;'Work 1'!$C$6,B792&gt;'Work 1'!$C$7,H792&gt;'Work 1'!$C$8*AVERAGEIF($F$5:$F$1014,F792,$H$5:$H$1014)),"Excl",IF(B792&gt;='Work 1'!$C$5,"LTM","Prior"))</f>
        <v/>
      </c>
      <c r="L792">
        <f>I792-J792</f>
        <v/>
      </c>
    </row>
    <row r="793" ht="14.25" customHeight="1" s="54">
      <c r="A793" s="20" t="inlineStr">
        <is>
          <t>BH-40786</t>
        </is>
      </c>
      <c r="B793" s="21" t="n">
        <v>46023</v>
      </c>
      <c r="C793" s="20" t="inlineStr">
        <is>
          <t>C14</t>
        </is>
      </c>
      <c r="D793" s="20" t="inlineStr">
        <is>
          <t>Oak Hollow Foods</t>
        </is>
      </c>
      <c r="E793" s="20" t="inlineStr">
        <is>
          <t>Grocery</t>
        </is>
      </c>
      <c r="F793" s="20" t="inlineStr">
        <is>
          <t>Granola</t>
        </is>
      </c>
      <c r="G793" s="22" t="n">
        <v>1205</v>
      </c>
      <c r="H793" s="23" t="n">
        <v>43.05</v>
      </c>
      <c r="I793" s="23" t="n">
        <v>51875.25</v>
      </c>
      <c r="J793" s="23" t="n">
        <v>32474.75</v>
      </c>
      <c r="K793">
        <f>IF(OR(COUNTIF($A$5:A793,A793)&gt;1,G793&lt;0,C793="",B793&lt;'Work 1'!$C$6,B793&gt;'Work 1'!$C$7,H793&gt;'Work 1'!$C$8*AVERAGEIF($F$5:$F$1014,F793,$H$5:$H$1014)),"Excl",IF(B793&gt;='Work 1'!$C$5,"LTM","Prior"))</f>
        <v/>
      </c>
      <c r="L793">
        <f>I793-J793</f>
        <v/>
      </c>
    </row>
    <row r="794" ht="14.25" customHeight="1" s="54">
      <c r="A794" s="20" t="inlineStr">
        <is>
          <t>BH-40787</t>
        </is>
      </c>
      <c r="B794" s="21" t="n">
        <v>46023</v>
      </c>
      <c r="C794" s="20" t="inlineStr">
        <is>
          <t>C14</t>
        </is>
      </c>
      <c r="D794" s="20" t="inlineStr">
        <is>
          <t>Oak Hollow Foods</t>
        </is>
      </c>
      <c r="E794" s="20" t="inlineStr">
        <is>
          <t>Grocery</t>
        </is>
      </c>
      <c r="F794" s="20" t="inlineStr">
        <is>
          <t>Nut Butter</t>
        </is>
      </c>
      <c r="G794" s="22" t="n">
        <v>451</v>
      </c>
      <c r="H794" s="23" t="n">
        <v>57.25</v>
      </c>
      <c r="I794" s="23" t="n">
        <v>25819.75</v>
      </c>
      <c r="J794" s="23" t="n">
        <v>17814.5</v>
      </c>
      <c r="K794">
        <f>IF(OR(COUNTIF($A$5:A794,A794)&gt;1,G794&lt;0,C794="",B794&lt;'Work 1'!$C$6,B794&gt;'Work 1'!$C$7,H794&gt;'Work 1'!$C$8*AVERAGEIF($F$5:$F$1014,F794,$H$5:$H$1014)),"Excl",IF(B794&gt;='Work 1'!$C$5,"LTM","Prior"))</f>
        <v/>
      </c>
      <c r="L794">
        <f>I794-J794</f>
        <v/>
      </c>
    </row>
    <row r="795" ht="14.25" customHeight="1" s="54">
      <c r="A795" s="20" t="inlineStr">
        <is>
          <t>BH-40788</t>
        </is>
      </c>
      <c r="B795" s="21" t="n">
        <v>46023</v>
      </c>
      <c r="C795" s="20" t="inlineStr">
        <is>
          <t>C14</t>
        </is>
      </c>
      <c r="D795" s="20" t="inlineStr">
        <is>
          <t>Oak Hollow Foods</t>
        </is>
      </c>
      <c r="E795" s="20" t="inlineStr">
        <is>
          <t>Grocery</t>
        </is>
      </c>
      <c r="F795" s="20" t="inlineStr">
        <is>
          <t>Snack Bars</t>
        </is>
      </c>
      <c r="G795" s="22" t="n">
        <v>785</v>
      </c>
      <c r="H795" s="23" t="n">
        <v>33.35</v>
      </c>
      <c r="I795" s="23" t="n">
        <v>26179.75</v>
      </c>
      <c r="J795" s="23" t="n">
        <v>16053.25</v>
      </c>
      <c r="K795">
        <f>IF(OR(COUNTIF($A$5:A795,A795)&gt;1,G795&lt;0,C795="",B795&lt;'Work 1'!$C$6,B795&gt;'Work 1'!$C$7,H795&gt;'Work 1'!$C$8*AVERAGEIF($F$5:$F$1014,F795,$H$5:$H$1014)),"Excl",IF(B795&gt;='Work 1'!$C$5,"LTM","Prior"))</f>
        <v/>
      </c>
      <c r="L795">
        <f>I795-J795</f>
        <v/>
      </c>
    </row>
    <row r="796" ht="14.25" customHeight="1" s="54">
      <c r="A796" s="20" t="inlineStr">
        <is>
          <t>BH-40789</t>
        </is>
      </c>
      <c r="B796" s="21" t="n">
        <v>46023</v>
      </c>
      <c r="C796" s="20" t="inlineStr">
        <is>
          <t>C15</t>
        </is>
      </c>
      <c r="D796" s="20" t="inlineStr">
        <is>
          <t>Prairie Fresh</t>
        </is>
      </c>
      <c r="E796" s="20" t="inlineStr">
        <is>
          <t>Grocery</t>
        </is>
      </c>
      <c r="F796" s="20" t="inlineStr">
        <is>
          <t>Granola</t>
        </is>
      </c>
      <c r="G796" s="22" t="n">
        <v>1467</v>
      </c>
      <c r="H796" s="23" t="n">
        <v>43.05</v>
      </c>
      <c r="I796" s="23" t="n">
        <v>63154.35</v>
      </c>
      <c r="J796" s="23" t="n">
        <v>39535.65</v>
      </c>
      <c r="K796">
        <f>IF(OR(COUNTIF($A$5:A796,A796)&gt;1,G796&lt;0,C796="",B796&lt;'Work 1'!$C$6,B796&gt;'Work 1'!$C$7,H796&gt;'Work 1'!$C$8*AVERAGEIF($F$5:$F$1014,F796,$H$5:$H$1014)),"Excl",IF(B796&gt;='Work 1'!$C$5,"LTM","Prior"))</f>
        <v/>
      </c>
      <c r="L796">
        <f>I796-J796</f>
        <v/>
      </c>
    </row>
    <row r="797" ht="14.25" customHeight="1" s="54">
      <c r="A797" s="20" t="inlineStr">
        <is>
          <t>BH-40790</t>
        </is>
      </c>
      <c r="B797" s="21" t="n">
        <v>46023</v>
      </c>
      <c r="C797" s="20" t="inlineStr">
        <is>
          <t>C15</t>
        </is>
      </c>
      <c r="D797" s="20" t="inlineStr">
        <is>
          <t>Prairie Fresh</t>
        </is>
      </c>
      <c r="E797" s="20" t="inlineStr">
        <is>
          <t>Grocery</t>
        </is>
      </c>
      <c r="F797" s="20" t="inlineStr">
        <is>
          <t>Snack Bars</t>
        </is>
      </c>
      <c r="G797" s="22" t="n">
        <v>1130</v>
      </c>
      <c r="H797" s="23" t="n">
        <v>33.35</v>
      </c>
      <c r="I797" s="23" t="n">
        <v>37685.5</v>
      </c>
      <c r="J797" s="23" t="n">
        <v>23108.5</v>
      </c>
      <c r="K797">
        <f>IF(OR(COUNTIF($A$5:A797,A797)&gt;1,G797&lt;0,C797="",B797&lt;'Work 1'!$C$6,B797&gt;'Work 1'!$C$7,H797&gt;'Work 1'!$C$8*AVERAGEIF($F$5:$F$1014,F797,$H$5:$H$1014)),"Excl",IF(B797&gt;='Work 1'!$C$5,"LTM","Prior"))</f>
        <v/>
      </c>
      <c r="L797">
        <f>I797-J797</f>
        <v/>
      </c>
    </row>
    <row r="798" ht="14.25" customHeight="1" s="54">
      <c r="A798" s="20" t="inlineStr">
        <is>
          <t>BH-40791</t>
        </is>
      </c>
      <c r="B798" s="21" t="n">
        <v>46023</v>
      </c>
      <c r="C798" s="20" t="inlineStr">
        <is>
          <t>C16</t>
        </is>
      </c>
      <c r="D798" s="20" t="inlineStr">
        <is>
          <t>Bay Street Market</t>
        </is>
      </c>
      <c r="E798" s="20" t="inlineStr">
        <is>
          <t>Grocery</t>
        </is>
      </c>
      <c r="F798" s="20" t="inlineStr">
        <is>
          <t>Granola</t>
        </is>
      </c>
      <c r="G798" s="22" t="n">
        <v>1070</v>
      </c>
      <c r="H798" s="23" t="n">
        <v>43.05</v>
      </c>
      <c r="I798" s="23" t="n">
        <v>46063.5</v>
      </c>
      <c r="J798" s="23" t="n">
        <v>28836.5</v>
      </c>
      <c r="K798">
        <f>IF(OR(COUNTIF($A$5:A798,A798)&gt;1,G798&lt;0,C798="",B798&lt;'Work 1'!$C$6,B798&gt;'Work 1'!$C$7,H798&gt;'Work 1'!$C$8*AVERAGEIF($F$5:$F$1014,F798,$H$5:$H$1014)),"Excl",IF(B798&gt;='Work 1'!$C$5,"LTM","Prior"))</f>
        <v/>
      </c>
      <c r="L798">
        <f>I798-J798</f>
        <v/>
      </c>
    </row>
    <row r="799" ht="14.25" customHeight="1" s="54">
      <c r="A799" s="20" t="inlineStr">
        <is>
          <t>BH-40792</t>
        </is>
      </c>
      <c r="B799" s="21" t="n">
        <v>46023</v>
      </c>
      <c r="C799" s="20" t="inlineStr">
        <is>
          <t>C16</t>
        </is>
      </c>
      <c r="D799" s="20" t="inlineStr">
        <is>
          <t>Bay Street Market</t>
        </is>
      </c>
      <c r="E799" s="20" t="inlineStr">
        <is>
          <t>Grocery</t>
        </is>
      </c>
      <c r="F799" s="20" t="inlineStr">
        <is>
          <t>Nut Butter</t>
        </is>
      </c>
      <c r="G799" s="22" t="n">
        <v>648</v>
      </c>
      <c r="H799" s="23" t="n">
        <v>57.25</v>
      </c>
      <c r="I799" s="23" t="n">
        <v>37098</v>
      </c>
      <c r="J799" s="23" t="n">
        <v>25596</v>
      </c>
      <c r="K799">
        <f>IF(OR(COUNTIF($A$5:A799,A799)&gt;1,G799&lt;0,C799="",B799&lt;'Work 1'!$C$6,B799&gt;'Work 1'!$C$7,H799&gt;'Work 1'!$C$8*AVERAGEIF($F$5:$F$1014,F799,$H$5:$H$1014)),"Excl",IF(B799&gt;='Work 1'!$C$5,"LTM","Prior"))</f>
        <v/>
      </c>
      <c r="L799">
        <f>I799-J799</f>
        <v/>
      </c>
    </row>
    <row r="800" ht="14.25" customHeight="1" s="54">
      <c r="A800" s="20" t="inlineStr">
        <is>
          <t>BH-40793</t>
        </is>
      </c>
      <c r="B800" s="21" t="n">
        <v>46023</v>
      </c>
      <c r="C800" s="20" t="inlineStr">
        <is>
          <t>C19</t>
        </is>
      </c>
      <c r="D800" s="20" t="inlineStr">
        <is>
          <t>Greenway Markets</t>
        </is>
      </c>
      <c r="E800" s="20" t="inlineStr">
        <is>
          <t>Grocery</t>
        </is>
      </c>
      <c r="F800" s="20" t="inlineStr">
        <is>
          <t>Granola</t>
        </is>
      </c>
      <c r="G800" s="22" t="n">
        <v>1657</v>
      </c>
      <c r="H800" s="23" t="n">
        <v>43.05</v>
      </c>
      <c r="I800" s="23" t="n">
        <v>71333.85000000001</v>
      </c>
      <c r="J800" s="23" t="n">
        <v>44656.15</v>
      </c>
      <c r="K800">
        <f>IF(OR(COUNTIF($A$5:A800,A800)&gt;1,G800&lt;0,C800="",B800&lt;'Work 1'!$C$6,B800&gt;'Work 1'!$C$7,H800&gt;'Work 1'!$C$8*AVERAGEIF($F$5:$F$1014,F800,$H$5:$H$1014)),"Excl",IF(B800&gt;='Work 1'!$C$5,"LTM","Prior"))</f>
        <v/>
      </c>
      <c r="L800">
        <f>I800-J800</f>
        <v/>
      </c>
    </row>
    <row r="801" ht="14.25" customHeight="1" s="54">
      <c r="A801" s="20" t="inlineStr">
        <is>
          <t>BH-40794</t>
        </is>
      </c>
      <c r="B801" s="21" t="n">
        <v>46023</v>
      </c>
      <c r="C801" s="20" t="inlineStr">
        <is>
          <t>C19</t>
        </is>
      </c>
      <c r="D801" s="20" t="inlineStr">
        <is>
          <t>Greenway Markets</t>
        </is>
      </c>
      <c r="E801" s="20" t="inlineStr">
        <is>
          <t>Grocery</t>
        </is>
      </c>
      <c r="F801" s="20" t="inlineStr">
        <is>
          <t>Nut Butter</t>
        </is>
      </c>
      <c r="G801" s="22" t="n">
        <v>760</v>
      </c>
      <c r="H801" s="23" t="n">
        <v>57.25</v>
      </c>
      <c r="I801" s="23" t="n">
        <v>43510</v>
      </c>
      <c r="J801" s="23" t="n">
        <v>30020</v>
      </c>
      <c r="K801">
        <f>IF(OR(COUNTIF($A$5:A801,A801)&gt;1,G801&lt;0,C801="",B801&lt;'Work 1'!$C$6,B801&gt;'Work 1'!$C$7,H801&gt;'Work 1'!$C$8*AVERAGEIF($F$5:$F$1014,F801,$H$5:$H$1014)),"Excl",IF(B801&gt;='Work 1'!$C$5,"LTM","Prior"))</f>
        <v/>
      </c>
      <c r="L801">
        <f>I801-J801</f>
        <v/>
      </c>
    </row>
    <row r="802" ht="14.25" customHeight="1" s="54">
      <c r="A802" s="20" t="inlineStr">
        <is>
          <t>BH-40795</t>
        </is>
      </c>
      <c r="B802" s="21" t="n">
        <v>46023</v>
      </c>
      <c r="C802" s="20" t="inlineStr">
        <is>
          <t>C19</t>
        </is>
      </c>
      <c r="D802" s="20" t="inlineStr">
        <is>
          <t>Greenway Markets</t>
        </is>
      </c>
      <c r="E802" s="20" t="inlineStr">
        <is>
          <t>Grocery</t>
        </is>
      </c>
      <c r="F802" s="20" t="inlineStr">
        <is>
          <t>Snack Bars</t>
        </is>
      </c>
      <c r="G802" s="22" t="n">
        <v>798</v>
      </c>
      <c r="H802" s="23" t="n">
        <v>33.35</v>
      </c>
      <c r="I802" s="23" t="n">
        <v>26613.3</v>
      </c>
      <c r="J802" s="23" t="n">
        <v>16319.1</v>
      </c>
      <c r="K802">
        <f>IF(OR(COUNTIF($A$5:A802,A802)&gt;1,G802&lt;0,C802="",B802&lt;'Work 1'!$C$6,B802&gt;'Work 1'!$C$7,H802&gt;'Work 1'!$C$8*AVERAGEIF($F$5:$F$1014,F802,$H$5:$H$1014)),"Excl",IF(B802&gt;='Work 1'!$C$5,"LTM","Prior"))</f>
        <v/>
      </c>
      <c r="L802">
        <f>I802-J802</f>
        <v/>
      </c>
    </row>
    <row r="803" ht="14.25" customHeight="1" s="54">
      <c r="A803" s="20" t="inlineStr">
        <is>
          <t>BH-40796</t>
        </is>
      </c>
      <c r="B803" s="21" t="n">
        <v>46054</v>
      </c>
      <c r="C803" s="20" t="inlineStr">
        <is>
          <t>C01</t>
        </is>
      </c>
      <c r="D803" s="20" t="inlineStr">
        <is>
          <t>Northfield Markets</t>
        </is>
      </c>
      <c r="E803" s="20" t="inlineStr">
        <is>
          <t>Grocery</t>
        </is>
      </c>
      <c r="F803" s="20" t="inlineStr">
        <is>
          <t>Granola</t>
        </is>
      </c>
      <c r="G803" s="22" t="n">
        <v>15045</v>
      </c>
      <c r="H803" s="23" t="n">
        <v>39.61</v>
      </c>
      <c r="I803" s="23" t="n">
        <v>595932.45</v>
      </c>
      <c r="J803" s="23" t="n">
        <v>405462.75</v>
      </c>
      <c r="K803">
        <f>IF(OR(COUNTIF($A$5:A803,A803)&gt;1,G803&lt;0,C803="",B803&lt;'Work 1'!$C$6,B803&gt;'Work 1'!$C$7,H803&gt;'Work 1'!$C$8*AVERAGEIF($F$5:$F$1014,F803,$H$5:$H$1014)),"Excl",IF(B803&gt;='Work 1'!$C$5,"LTM","Prior"))</f>
        <v/>
      </c>
      <c r="L803">
        <f>I803-J803</f>
        <v/>
      </c>
    </row>
    <row r="804" ht="14.25" customHeight="1" s="54">
      <c r="A804" s="20" t="inlineStr">
        <is>
          <t>BH-40797</t>
        </is>
      </c>
      <c r="B804" s="21" t="n">
        <v>46054</v>
      </c>
      <c r="C804" s="20" t="inlineStr">
        <is>
          <t>C01</t>
        </is>
      </c>
      <c r="D804" s="20" t="inlineStr">
        <is>
          <t>Northfield Markets</t>
        </is>
      </c>
      <c r="E804" s="20" t="inlineStr">
        <is>
          <t>Grocery</t>
        </is>
      </c>
      <c r="F804" s="20" t="inlineStr">
        <is>
          <t>Nut Butter</t>
        </is>
      </c>
      <c r="G804" s="22" t="n">
        <v>7864</v>
      </c>
      <c r="H804" s="23" t="n">
        <v>52.67</v>
      </c>
      <c r="I804" s="23" t="n">
        <v>414196.88</v>
      </c>
      <c r="J804" s="23" t="n">
        <v>310628</v>
      </c>
      <c r="K804">
        <f>IF(OR(COUNTIF($A$5:A804,A804)&gt;1,G804&lt;0,C804="",B804&lt;'Work 1'!$C$6,B804&gt;'Work 1'!$C$7,H804&gt;'Work 1'!$C$8*AVERAGEIF($F$5:$F$1014,F804,$H$5:$H$1014)),"Excl",IF(B804&gt;='Work 1'!$C$5,"LTM","Prior"))</f>
        <v/>
      </c>
      <c r="L804">
        <f>I804-J804</f>
        <v/>
      </c>
    </row>
    <row r="805" ht="14.25" customHeight="1" s="54">
      <c r="A805" s="20" t="inlineStr">
        <is>
          <t>BH-40798</t>
        </is>
      </c>
      <c r="B805" s="21" t="n">
        <v>46054</v>
      </c>
      <c r="C805" s="20" t="inlineStr">
        <is>
          <t>C01</t>
        </is>
      </c>
      <c r="D805" s="20" t="inlineStr">
        <is>
          <t>Northfield Markets</t>
        </is>
      </c>
      <c r="E805" s="20" t="inlineStr">
        <is>
          <t>Grocery</t>
        </is>
      </c>
      <c r="F805" s="20" t="inlineStr">
        <is>
          <t>Snack Bars</t>
        </is>
      </c>
      <c r="G805" s="22" t="n">
        <v>11558</v>
      </c>
      <c r="H805" s="23" t="n">
        <v>30.68</v>
      </c>
      <c r="I805" s="23" t="n">
        <v>354599.44</v>
      </c>
      <c r="J805" s="23" t="n">
        <v>236361.1</v>
      </c>
      <c r="K805">
        <f>IF(OR(COUNTIF($A$5:A805,A805)&gt;1,G805&lt;0,C805="",B805&lt;'Work 1'!$C$6,B805&gt;'Work 1'!$C$7,H805&gt;'Work 1'!$C$8*AVERAGEIF($F$5:$F$1014,F805,$H$5:$H$1014)),"Excl",IF(B805&gt;='Work 1'!$C$5,"LTM","Prior"))</f>
        <v/>
      </c>
      <c r="L805">
        <f>I805-J805</f>
        <v/>
      </c>
    </row>
    <row r="806" ht="14.25" customHeight="1" s="54">
      <c r="A806" s="20" t="inlineStr">
        <is>
          <t>BH-40799</t>
        </is>
      </c>
      <c r="B806" s="21" t="n">
        <v>46054</v>
      </c>
      <c r="C806" s="20" t="inlineStr">
        <is>
          <t>C02</t>
        </is>
      </c>
      <c r="D806" s="20" t="inlineStr">
        <is>
          <t>Crestline Grocers</t>
        </is>
      </c>
      <c r="E806" s="20" t="inlineStr">
        <is>
          <t>Grocery</t>
        </is>
      </c>
      <c r="F806" s="20" t="inlineStr">
        <is>
          <t>Granola</t>
        </is>
      </c>
      <c r="G806" s="22" t="n">
        <v>3925</v>
      </c>
      <c r="H806" s="23" t="n">
        <v>41.76</v>
      </c>
      <c r="I806" s="23" t="n">
        <v>163908</v>
      </c>
      <c r="J806" s="23" t="n">
        <v>105778.75</v>
      </c>
      <c r="K806">
        <f>IF(OR(COUNTIF($A$5:A806,A806)&gt;1,G806&lt;0,C806="",B806&lt;'Work 1'!$C$6,B806&gt;'Work 1'!$C$7,H806&gt;'Work 1'!$C$8*AVERAGEIF($F$5:$F$1014,F806,$H$5:$H$1014)),"Excl",IF(B806&gt;='Work 1'!$C$5,"LTM","Prior"))</f>
        <v/>
      </c>
      <c r="L806">
        <f>I806-J806</f>
        <v/>
      </c>
    </row>
    <row r="807" ht="14.25" customHeight="1" s="54">
      <c r="A807" s="20" t="inlineStr">
        <is>
          <t>BH-40800</t>
        </is>
      </c>
      <c r="B807" s="21" t="n">
        <v>46054</v>
      </c>
      <c r="C807" s="20" t="inlineStr">
        <is>
          <t>C02</t>
        </is>
      </c>
      <c r="D807" s="20" t="inlineStr">
        <is>
          <t>Crestline Grocers</t>
        </is>
      </c>
      <c r="E807" s="20" t="inlineStr">
        <is>
          <t>Grocery</t>
        </is>
      </c>
      <c r="F807" s="20" t="inlineStr">
        <is>
          <t>Nut Butter</t>
        </is>
      </c>
      <c r="G807" s="22" t="n">
        <v>2058</v>
      </c>
      <c r="H807" s="23" t="n">
        <v>55.53</v>
      </c>
      <c r="I807" s="23" t="n">
        <v>114280.74</v>
      </c>
      <c r="J807" s="23" t="n">
        <v>81291</v>
      </c>
      <c r="K807">
        <f>IF(OR(COUNTIF($A$5:A807,A807)&gt;1,G807&lt;0,C807="",B807&lt;'Work 1'!$C$6,B807&gt;'Work 1'!$C$7,H807&gt;'Work 1'!$C$8*AVERAGEIF($F$5:$F$1014,F807,$H$5:$H$1014)),"Excl",IF(B807&gt;='Work 1'!$C$5,"LTM","Prior"))</f>
        <v/>
      </c>
      <c r="L807">
        <f>I807-J807</f>
        <v/>
      </c>
    </row>
    <row r="808" ht="14.25" customHeight="1" s="54">
      <c r="A808" s="20" t="inlineStr">
        <is>
          <t>BH-40801</t>
        </is>
      </c>
      <c r="B808" s="21" t="n">
        <v>46054</v>
      </c>
      <c r="C808" s="20" t="inlineStr">
        <is>
          <t>C02</t>
        </is>
      </c>
      <c r="D808" s="20" t="inlineStr">
        <is>
          <t>Crestline Grocers</t>
        </is>
      </c>
      <c r="E808" s="20" t="inlineStr">
        <is>
          <t>Grocery</t>
        </is>
      </c>
      <c r="F808" s="20" t="inlineStr">
        <is>
          <t>Snack Bars</t>
        </is>
      </c>
      <c r="G808" s="22" t="n">
        <v>3543</v>
      </c>
      <c r="H808" s="23" t="n">
        <v>32.35</v>
      </c>
      <c r="I808" s="23" t="n">
        <v>114616.05</v>
      </c>
      <c r="J808" s="23" t="n">
        <v>72454.35000000001</v>
      </c>
      <c r="K808">
        <f>IF(OR(COUNTIF($A$5:A808,A808)&gt;1,G808&lt;0,C808="",B808&lt;'Work 1'!$C$6,B808&gt;'Work 1'!$C$7,H808&gt;'Work 1'!$C$8*AVERAGEIF($F$5:$F$1014,F808,$H$5:$H$1014)),"Excl",IF(B808&gt;='Work 1'!$C$5,"LTM","Prior"))</f>
        <v/>
      </c>
      <c r="L808">
        <f>I808-J808</f>
        <v/>
      </c>
    </row>
    <row r="809" ht="14.25" customHeight="1" s="54">
      <c r="A809" s="20" t="inlineStr">
        <is>
          <t>BH-40802</t>
        </is>
      </c>
      <c r="B809" s="21" t="n">
        <v>46054</v>
      </c>
      <c r="C809" s="20" t="inlineStr">
        <is>
          <t>C03</t>
        </is>
      </c>
      <c r="D809" s="20" t="inlineStr">
        <is>
          <t>ValuClub Warehouse</t>
        </is>
      </c>
      <c r="E809" s="20" t="inlineStr">
        <is>
          <t>Club</t>
        </is>
      </c>
      <c r="F809" s="20" t="inlineStr">
        <is>
          <t>Granola</t>
        </is>
      </c>
      <c r="G809" s="22" t="n">
        <v>12919</v>
      </c>
      <c r="H809" s="23" t="n">
        <v>36.6</v>
      </c>
      <c r="I809" s="23" t="n">
        <v>472835.4</v>
      </c>
      <c r="J809" s="23" t="n">
        <v>348167.05</v>
      </c>
      <c r="K809">
        <f>IF(OR(COUNTIF($A$5:A809,A809)&gt;1,G809&lt;0,C809="",B809&lt;'Work 1'!$C$6,B809&gt;'Work 1'!$C$7,H809&gt;'Work 1'!$C$8*AVERAGEIF($F$5:$F$1014,F809,$H$5:$H$1014)),"Excl",IF(B809&gt;='Work 1'!$C$5,"LTM","Prior"))</f>
        <v/>
      </c>
      <c r="L809">
        <f>I809-J809</f>
        <v/>
      </c>
    </row>
    <row r="810" ht="14.25" customHeight="1" s="54">
      <c r="A810" s="20" t="inlineStr">
        <is>
          <t>BH-40803</t>
        </is>
      </c>
      <c r="B810" s="21" t="n">
        <v>46054</v>
      </c>
      <c r="C810" s="20" t="inlineStr">
        <is>
          <t>C03</t>
        </is>
      </c>
      <c r="D810" s="20" t="inlineStr">
        <is>
          <t>ValuClub Warehouse</t>
        </is>
      </c>
      <c r="E810" s="20" t="inlineStr">
        <is>
          <t>Club</t>
        </is>
      </c>
      <c r="F810" s="20" t="inlineStr">
        <is>
          <t>Snack Bars</t>
        </is>
      </c>
      <c r="G810" s="22" t="n">
        <v>14048</v>
      </c>
      <c r="H810" s="23" t="n">
        <v>25.35</v>
      </c>
      <c r="I810" s="23" t="n">
        <v>356116.8</v>
      </c>
      <c r="J810" s="23" t="n">
        <v>287281.6</v>
      </c>
      <c r="K810">
        <f>IF(OR(COUNTIF($A$5:A810,A810)&gt;1,G810&lt;0,C810="",B810&lt;'Work 1'!$C$6,B810&gt;'Work 1'!$C$7,H810&gt;'Work 1'!$C$8*AVERAGEIF($F$5:$F$1014,F810,$H$5:$H$1014)),"Excl",IF(B810&gt;='Work 1'!$C$5,"LTM","Prior"))</f>
        <v/>
      </c>
      <c r="L810">
        <f>I810-J810</f>
        <v/>
      </c>
    </row>
    <row r="811" ht="14.25" customHeight="1" s="54">
      <c r="A811" s="20" t="inlineStr">
        <is>
          <t>BH-40804</t>
        </is>
      </c>
      <c r="B811" s="21" t="n">
        <v>46054</v>
      </c>
      <c r="C811" s="20" t="inlineStr">
        <is>
          <t>C04</t>
        </is>
      </c>
      <c r="D811" s="20" t="inlineStr">
        <is>
          <t>Harvest Lane Co-op</t>
        </is>
      </c>
      <c r="E811" s="20" t="inlineStr">
        <is>
          <t>Grocery</t>
        </is>
      </c>
      <c r="F811" s="20" t="inlineStr">
        <is>
          <t>Granola</t>
        </is>
      </c>
      <c r="G811" s="22" t="n">
        <v>2780</v>
      </c>
      <c r="H811" s="23" t="n">
        <v>43.05</v>
      </c>
      <c r="I811" s="23" t="n">
        <v>119679</v>
      </c>
      <c r="J811" s="23" t="n">
        <v>74921</v>
      </c>
      <c r="K811">
        <f>IF(OR(COUNTIF($A$5:A811,A811)&gt;1,G811&lt;0,C811="",B811&lt;'Work 1'!$C$6,B811&gt;'Work 1'!$C$7,H811&gt;'Work 1'!$C$8*AVERAGEIF($F$5:$F$1014,F811,$H$5:$H$1014)),"Excl",IF(B811&gt;='Work 1'!$C$5,"LTM","Prior"))</f>
        <v/>
      </c>
      <c r="L811">
        <f>I811-J811</f>
        <v/>
      </c>
    </row>
    <row r="812" ht="14.25" customHeight="1" s="54">
      <c r="A812" s="20" t="inlineStr">
        <is>
          <t>BH-40805</t>
        </is>
      </c>
      <c r="B812" s="21" t="n">
        <v>46054</v>
      </c>
      <c r="C812" s="20" t="inlineStr">
        <is>
          <t>C04</t>
        </is>
      </c>
      <c r="D812" s="20" t="inlineStr">
        <is>
          <t>Harvest Lane Co-op</t>
        </is>
      </c>
      <c r="E812" s="20" t="inlineStr">
        <is>
          <t>Grocery</t>
        </is>
      </c>
      <c r="F812" s="20" t="inlineStr">
        <is>
          <t>Nut Butter</t>
        </is>
      </c>
      <c r="G812" s="22" t="n">
        <v>1506</v>
      </c>
      <c r="H812" s="23" t="n">
        <v>57.25</v>
      </c>
      <c r="I812" s="23" t="n">
        <v>86218.5</v>
      </c>
      <c r="J812" s="23" t="n">
        <v>59487</v>
      </c>
      <c r="K812">
        <f>IF(OR(COUNTIF($A$5:A812,A812)&gt;1,G812&lt;0,C812="",B812&lt;'Work 1'!$C$6,B812&gt;'Work 1'!$C$7,H812&gt;'Work 1'!$C$8*AVERAGEIF($F$5:$F$1014,F812,$H$5:$H$1014)),"Excl",IF(B812&gt;='Work 1'!$C$5,"LTM","Prior"))</f>
        <v/>
      </c>
      <c r="L812">
        <f>I812-J812</f>
        <v/>
      </c>
    </row>
    <row r="813" ht="14.25" customHeight="1" s="54">
      <c r="A813" s="20" t="inlineStr">
        <is>
          <t>BH-40806</t>
        </is>
      </c>
      <c r="B813" s="21" t="n">
        <v>46054</v>
      </c>
      <c r="C813" s="20" t="inlineStr">
        <is>
          <t>C04</t>
        </is>
      </c>
      <c r="D813" s="20" t="inlineStr">
        <is>
          <t>Harvest Lane Co-op</t>
        </is>
      </c>
      <c r="E813" s="20" t="inlineStr">
        <is>
          <t>Grocery</t>
        </is>
      </c>
      <c r="F813" s="20" t="inlineStr">
        <is>
          <t>Snack Bars</t>
        </is>
      </c>
      <c r="G813" s="22" t="n">
        <v>1783</v>
      </c>
      <c r="H813" s="23" t="n">
        <v>33.35</v>
      </c>
      <c r="I813" s="23" t="n">
        <v>59463.05</v>
      </c>
      <c r="J813" s="23" t="n">
        <v>36462.35</v>
      </c>
      <c r="K813">
        <f>IF(OR(COUNTIF($A$5:A813,A813)&gt;1,G813&lt;0,C813="",B813&lt;'Work 1'!$C$6,B813&gt;'Work 1'!$C$7,H813&gt;'Work 1'!$C$8*AVERAGEIF($F$5:$F$1014,F813,$H$5:$H$1014)),"Excl",IF(B813&gt;='Work 1'!$C$5,"LTM","Prior"))</f>
        <v/>
      </c>
      <c r="L813">
        <f>I813-J813</f>
        <v/>
      </c>
    </row>
    <row r="814" ht="14.25" customHeight="1" s="54">
      <c r="A814" s="20" t="inlineStr">
        <is>
          <t>BH-40807</t>
        </is>
      </c>
      <c r="B814" s="21" t="n">
        <v>46054</v>
      </c>
      <c r="C814" s="20" t="inlineStr">
        <is>
          <t>C05</t>
        </is>
      </c>
      <c r="D814" s="20" t="inlineStr">
        <is>
          <t>Pioneer Foods Distribution</t>
        </is>
      </c>
      <c r="E814" s="20" t="inlineStr">
        <is>
          <t>Grocery</t>
        </is>
      </c>
      <c r="F814" s="20" t="inlineStr">
        <is>
          <t>Granola</t>
        </is>
      </c>
      <c r="G814" s="22" t="n">
        <v>3175</v>
      </c>
      <c r="H814" s="23" t="n">
        <v>38.74</v>
      </c>
      <c r="I814" s="23" t="n">
        <v>122999.5</v>
      </c>
      <c r="J814" s="23" t="n">
        <v>85566.25</v>
      </c>
      <c r="K814">
        <f>IF(OR(COUNTIF($A$5:A814,A814)&gt;1,G814&lt;0,C814="",B814&lt;'Work 1'!$C$6,B814&gt;'Work 1'!$C$7,H814&gt;'Work 1'!$C$8*AVERAGEIF($F$5:$F$1014,F814,$H$5:$H$1014)),"Excl",IF(B814&gt;='Work 1'!$C$5,"LTM","Prior"))</f>
        <v/>
      </c>
      <c r="L814">
        <f>I814-J814</f>
        <v/>
      </c>
    </row>
    <row r="815" ht="14.25" customHeight="1" s="54">
      <c r="A815" s="20" t="inlineStr">
        <is>
          <t>BH-40808</t>
        </is>
      </c>
      <c r="B815" s="21" t="n">
        <v>46054</v>
      </c>
      <c r="C815" s="20" t="inlineStr">
        <is>
          <t>C05</t>
        </is>
      </c>
      <c r="D815" s="20" t="inlineStr">
        <is>
          <t>Pioneer Foods Distribution</t>
        </is>
      </c>
      <c r="E815" s="20" t="inlineStr">
        <is>
          <t>Grocery</t>
        </is>
      </c>
      <c r="F815" s="20" t="inlineStr">
        <is>
          <t>Nut Butter</t>
        </is>
      </c>
      <c r="G815" s="22" t="n">
        <v>1779</v>
      </c>
      <c r="H815" s="23" t="n">
        <v>51.52</v>
      </c>
      <c r="I815" s="23" t="n">
        <v>91654.08</v>
      </c>
      <c r="J815" s="23" t="n">
        <v>70270.5</v>
      </c>
      <c r="K815">
        <f>IF(OR(COUNTIF($A$5:A815,A815)&gt;1,G815&lt;0,C815="",B815&lt;'Work 1'!$C$6,B815&gt;'Work 1'!$C$7,H815&gt;'Work 1'!$C$8*AVERAGEIF($F$5:$F$1014,F815,$H$5:$H$1014)),"Excl",IF(B815&gt;='Work 1'!$C$5,"LTM","Prior"))</f>
        <v/>
      </c>
      <c r="L815">
        <f>I815-J815</f>
        <v/>
      </c>
    </row>
    <row r="816" ht="14.25" customHeight="1" s="54">
      <c r="A816" s="20" t="inlineStr">
        <is>
          <t>BH-40809</t>
        </is>
      </c>
      <c r="B816" s="21" t="n">
        <v>46054</v>
      </c>
      <c r="C816" s="20" t="inlineStr">
        <is>
          <t>C05</t>
        </is>
      </c>
      <c r="D816" s="20" t="inlineStr">
        <is>
          <t>Pioneer Foods Distribution</t>
        </is>
      </c>
      <c r="E816" s="20" t="inlineStr">
        <is>
          <t>Grocery</t>
        </is>
      </c>
      <c r="F816" s="20" t="inlineStr">
        <is>
          <t>Snack Bars</t>
        </is>
      </c>
      <c r="G816" s="22" t="n">
        <v>2993</v>
      </c>
      <c r="H816" s="23" t="n">
        <v>30.02</v>
      </c>
      <c r="I816" s="23" t="n">
        <v>89849.86</v>
      </c>
      <c r="J816" s="23" t="n">
        <v>61206.85</v>
      </c>
      <c r="K816">
        <f>IF(OR(COUNTIF($A$5:A816,A816)&gt;1,G816&lt;0,C816="",B816&lt;'Work 1'!$C$6,B816&gt;'Work 1'!$C$7,H816&gt;'Work 1'!$C$8*AVERAGEIF($F$5:$F$1014,F816,$H$5:$H$1014)),"Excl",IF(B816&gt;='Work 1'!$C$5,"LTM","Prior"))</f>
        <v/>
      </c>
      <c r="L816">
        <f>I816-J816</f>
        <v/>
      </c>
    </row>
    <row r="817" ht="14.25" customHeight="1" s="54">
      <c r="A817" s="20" t="inlineStr">
        <is>
          <t>BH-40810</t>
        </is>
      </c>
      <c r="B817" s="21" t="n">
        <v>46054</v>
      </c>
      <c r="C817" s="20" t="inlineStr">
        <is>
          <t>C06</t>
        </is>
      </c>
      <c r="D817" s="20" t="inlineStr">
        <is>
          <t>Summit Club Stores</t>
        </is>
      </c>
      <c r="E817" s="20" t="inlineStr">
        <is>
          <t>Club</t>
        </is>
      </c>
      <c r="F817" s="20" t="inlineStr">
        <is>
          <t>Granola</t>
        </is>
      </c>
      <c r="G817" s="22" t="n">
        <v>5021</v>
      </c>
      <c r="H817" s="23" t="n">
        <v>36.6</v>
      </c>
      <c r="I817" s="23" t="n">
        <v>183768.6</v>
      </c>
      <c r="J817" s="23" t="n">
        <v>135315.95</v>
      </c>
      <c r="K817">
        <f>IF(OR(COUNTIF($A$5:A817,A817)&gt;1,G817&lt;0,C817="",B817&lt;'Work 1'!$C$6,B817&gt;'Work 1'!$C$7,H817&gt;'Work 1'!$C$8*AVERAGEIF($F$5:$F$1014,F817,$H$5:$H$1014)),"Excl",IF(B817&gt;='Work 1'!$C$5,"LTM","Prior"))</f>
        <v/>
      </c>
      <c r="L817">
        <f>I817-J817</f>
        <v/>
      </c>
    </row>
    <row r="818" ht="14.25" customHeight="1" s="54">
      <c r="A818" s="20" t="inlineStr">
        <is>
          <t>BH-40811</t>
        </is>
      </c>
      <c r="B818" s="21" t="n">
        <v>46054</v>
      </c>
      <c r="C818" s="20" t="inlineStr">
        <is>
          <t>C06</t>
        </is>
      </c>
      <c r="D818" s="20" t="inlineStr">
        <is>
          <t>Summit Club Stores</t>
        </is>
      </c>
      <c r="E818" s="20" t="inlineStr">
        <is>
          <t>Club</t>
        </is>
      </c>
      <c r="F818" s="20" t="inlineStr">
        <is>
          <t>Nut Butter</t>
        </is>
      </c>
      <c r="G818" s="22" t="n">
        <v>2734</v>
      </c>
      <c r="H818" s="23" t="n">
        <v>48.75</v>
      </c>
      <c r="I818" s="23" t="n">
        <v>133282.5</v>
      </c>
      <c r="J818" s="23" t="n">
        <v>107993</v>
      </c>
      <c r="K818">
        <f>IF(OR(COUNTIF($A$5:A818,A818)&gt;1,G818&lt;0,C818="",B818&lt;'Work 1'!$C$6,B818&gt;'Work 1'!$C$7,H818&gt;'Work 1'!$C$8*AVERAGEIF($F$5:$F$1014,F818,$H$5:$H$1014)),"Excl",IF(B818&gt;='Work 1'!$C$5,"LTM","Prior"))</f>
        <v/>
      </c>
      <c r="L818">
        <f>I818-J818</f>
        <v/>
      </c>
    </row>
    <row r="819" ht="14.25" customHeight="1" s="54">
      <c r="A819" s="20" t="inlineStr">
        <is>
          <t>BH-40812</t>
        </is>
      </c>
      <c r="B819" s="21" t="n">
        <v>46054</v>
      </c>
      <c r="C819" s="20" t="inlineStr">
        <is>
          <t>C07</t>
        </is>
      </c>
      <c r="D819" s="20" t="inlineStr">
        <is>
          <t>Bramble Hill Online Store</t>
        </is>
      </c>
      <c r="E819" s="20" t="inlineStr">
        <is>
          <t>Online</t>
        </is>
      </c>
      <c r="F819" s="20" t="inlineStr">
        <is>
          <t>Granola</t>
        </is>
      </c>
      <c r="G819" s="22" t="n">
        <v>3418</v>
      </c>
      <c r="H819" s="23" t="n">
        <v>49.4</v>
      </c>
      <c r="I819" s="23" t="n">
        <v>168849.2</v>
      </c>
      <c r="J819" s="23" t="n">
        <v>92115.10000000001</v>
      </c>
      <c r="K819">
        <f>IF(OR(COUNTIF($A$5:A819,A819)&gt;1,G819&lt;0,C819="",B819&lt;'Work 1'!$C$6,B819&gt;'Work 1'!$C$7,H819&gt;'Work 1'!$C$8*AVERAGEIF($F$5:$F$1014,F819,$H$5:$H$1014)),"Excl",IF(B819&gt;='Work 1'!$C$5,"LTM","Prior"))</f>
        <v/>
      </c>
      <c r="L819">
        <f>I819-J819</f>
        <v/>
      </c>
    </row>
    <row r="820" ht="14.25" customHeight="1" s="54">
      <c r="A820" s="20" t="inlineStr">
        <is>
          <t>BH-40813</t>
        </is>
      </c>
      <c r="B820" s="21" t="n">
        <v>46054</v>
      </c>
      <c r="C820" s="20" t="inlineStr">
        <is>
          <t>C07</t>
        </is>
      </c>
      <c r="D820" s="20" t="inlineStr">
        <is>
          <t>Bramble Hill Online Store</t>
        </is>
      </c>
      <c r="E820" s="20" t="inlineStr">
        <is>
          <t>Online</t>
        </is>
      </c>
      <c r="F820" s="20" t="inlineStr">
        <is>
          <t>Nut Butter</t>
        </is>
      </c>
      <c r="G820" s="22" t="n">
        <v>1994</v>
      </c>
      <c r="H820" s="23" t="n">
        <v>64.40000000000001</v>
      </c>
      <c r="I820" s="23" t="n">
        <v>128413.6</v>
      </c>
      <c r="J820" s="23" t="n">
        <v>78763</v>
      </c>
      <c r="K820">
        <f>IF(OR(COUNTIF($A$5:A820,A820)&gt;1,G820&lt;0,C820="",B820&lt;'Work 1'!$C$6,B820&gt;'Work 1'!$C$7,H820&gt;'Work 1'!$C$8*AVERAGEIF($F$5:$F$1014,F820,$H$5:$H$1014)),"Excl",IF(B820&gt;='Work 1'!$C$5,"LTM","Prior"))</f>
        <v/>
      </c>
      <c r="L820">
        <f>I820-J820</f>
        <v/>
      </c>
    </row>
    <row r="821" ht="14.25" customHeight="1" s="54">
      <c r="A821" s="20" t="inlineStr">
        <is>
          <t>BH-49538</t>
        </is>
      </c>
      <c r="B821" s="21" t="n">
        <v>46054</v>
      </c>
      <c r="C821" s="20" t="n"/>
      <c r="D821" s="20" t="n"/>
      <c r="E821" s="20" t="inlineStr">
        <is>
          <t>Online</t>
        </is>
      </c>
      <c r="F821" s="20" t="inlineStr">
        <is>
          <t>Nut Butter</t>
        </is>
      </c>
      <c r="G821" s="22" t="n">
        <v>1310</v>
      </c>
      <c r="H821" s="23" t="n">
        <v>64.40000000000001</v>
      </c>
      <c r="I821" s="23" t="n">
        <v>84364</v>
      </c>
      <c r="J821" s="23" t="n">
        <v>51745</v>
      </c>
      <c r="K821">
        <f>IF(OR(COUNTIF($A$5:A821,A821)&gt;1,G821&lt;0,C821="",B821&lt;'Work 1'!$C$6,B821&gt;'Work 1'!$C$7,H821&gt;'Work 1'!$C$8*AVERAGEIF($F$5:$F$1014,F821,$H$5:$H$1014)),"Excl",IF(B821&gt;='Work 1'!$C$5,"LTM","Prior"))</f>
        <v/>
      </c>
      <c r="L821">
        <f>I821-J821</f>
        <v/>
      </c>
    </row>
    <row r="822" ht="14.25" customHeight="1" s="54">
      <c r="A822" s="20" t="inlineStr">
        <is>
          <t>BH-40814</t>
        </is>
      </c>
      <c r="B822" s="21" t="n">
        <v>46054</v>
      </c>
      <c r="C822" s="20" t="inlineStr">
        <is>
          <t>C07</t>
        </is>
      </c>
      <c r="D822" s="20" t="inlineStr">
        <is>
          <t>Bramble Hill Online Store</t>
        </is>
      </c>
      <c r="E822" s="20" t="inlineStr">
        <is>
          <t>Online</t>
        </is>
      </c>
      <c r="F822" s="20" t="inlineStr">
        <is>
          <t>Snack Bars</t>
        </is>
      </c>
      <c r="G822" s="22" t="n">
        <v>2457</v>
      </c>
      <c r="H822" s="23" t="n">
        <v>39.3</v>
      </c>
      <c r="I822" s="23" t="n">
        <v>96560.10000000001</v>
      </c>
      <c r="J822" s="23" t="n">
        <v>50245.65</v>
      </c>
      <c r="K822">
        <f>IF(OR(COUNTIF($A$5:A822,A822)&gt;1,G822&lt;0,C822="",B822&lt;'Work 1'!$C$6,B822&gt;'Work 1'!$C$7,H822&gt;'Work 1'!$C$8*AVERAGEIF($F$5:$F$1014,F822,$H$5:$H$1014)),"Excl",IF(B822&gt;='Work 1'!$C$5,"LTM","Prior"))</f>
        <v/>
      </c>
      <c r="L822">
        <f>I822-J822</f>
        <v/>
      </c>
    </row>
    <row r="823" ht="14.25" customHeight="1" s="54">
      <c r="A823" s="20" t="inlineStr">
        <is>
          <t>BH-40815</t>
        </is>
      </c>
      <c r="B823" s="21" t="n">
        <v>46054</v>
      </c>
      <c r="C823" s="20" t="inlineStr">
        <is>
          <t>C08</t>
        </is>
      </c>
      <c r="D823" s="20" t="inlineStr">
        <is>
          <t>Online Marketplace</t>
        </is>
      </c>
      <c r="E823" s="20" t="inlineStr">
        <is>
          <t>Online</t>
        </is>
      </c>
      <c r="F823" s="20" t="inlineStr">
        <is>
          <t>Granola</t>
        </is>
      </c>
      <c r="G823" s="22" t="n">
        <v>3686</v>
      </c>
      <c r="H823" s="23" t="n">
        <v>43.47</v>
      </c>
      <c r="I823" s="23" t="n">
        <v>160230.42</v>
      </c>
      <c r="J823" s="23" t="n">
        <v>99337.7</v>
      </c>
      <c r="K823">
        <f>IF(OR(COUNTIF($A$5:A823,A823)&gt;1,G823&lt;0,C823="",B823&lt;'Work 1'!$C$6,B823&gt;'Work 1'!$C$7,H823&gt;'Work 1'!$C$8*AVERAGEIF($F$5:$F$1014,F823,$H$5:$H$1014)),"Excl",IF(B823&gt;='Work 1'!$C$5,"LTM","Prior"))</f>
        <v/>
      </c>
      <c r="L823">
        <f>I823-J823</f>
        <v/>
      </c>
    </row>
    <row r="824" ht="14.25" customHeight="1" s="54">
      <c r="A824" s="20" t="inlineStr">
        <is>
          <t>BH-40816</t>
        </is>
      </c>
      <c r="B824" s="21" t="n">
        <v>46054</v>
      </c>
      <c r="C824" s="20" t="inlineStr">
        <is>
          <t>C08</t>
        </is>
      </c>
      <c r="D824" s="20" t="inlineStr">
        <is>
          <t>Online Marketplace</t>
        </is>
      </c>
      <c r="E824" s="20" t="inlineStr">
        <is>
          <t>Online</t>
        </is>
      </c>
      <c r="F824" s="20" t="inlineStr">
        <is>
          <t>Nut Butter</t>
        </is>
      </c>
      <c r="G824" s="22" t="n">
        <v>1971</v>
      </c>
      <c r="H824" s="23" t="n">
        <v>56.67</v>
      </c>
      <c r="I824" s="23" t="n">
        <v>111696.57</v>
      </c>
      <c r="J824" s="23" t="n">
        <v>77854.5</v>
      </c>
      <c r="K824">
        <f>IF(OR(COUNTIF($A$5:A824,A824)&gt;1,G824&lt;0,C824="",B824&lt;'Work 1'!$C$6,B824&gt;'Work 1'!$C$7,H824&gt;'Work 1'!$C$8*AVERAGEIF($F$5:$F$1014,F824,$H$5:$H$1014)),"Excl",IF(B824&gt;='Work 1'!$C$5,"LTM","Prior"))</f>
        <v/>
      </c>
      <c r="L824">
        <f>I824-J824</f>
        <v/>
      </c>
    </row>
    <row r="825" ht="14.25" customHeight="1" s="54">
      <c r="A825" s="20" t="inlineStr">
        <is>
          <t>BH-40817</t>
        </is>
      </c>
      <c r="B825" s="21" t="n">
        <v>46054</v>
      </c>
      <c r="C825" s="20" t="inlineStr">
        <is>
          <t>C08</t>
        </is>
      </c>
      <c r="D825" s="20" t="inlineStr">
        <is>
          <t>Online Marketplace</t>
        </is>
      </c>
      <c r="E825" s="20" t="inlineStr">
        <is>
          <t>Online</t>
        </is>
      </c>
      <c r="F825" s="20" t="inlineStr">
        <is>
          <t>Snack Bars</t>
        </is>
      </c>
      <c r="G825" s="22" t="n">
        <v>3190</v>
      </c>
      <c r="H825" s="23" t="n">
        <v>34.58</v>
      </c>
      <c r="I825" s="23" t="n">
        <v>110310.2</v>
      </c>
      <c r="J825" s="23" t="n">
        <v>65235.5</v>
      </c>
      <c r="K825">
        <f>IF(OR(COUNTIF($A$5:A825,A825)&gt;1,G825&lt;0,C825="",B825&lt;'Work 1'!$C$6,B825&gt;'Work 1'!$C$7,H825&gt;'Work 1'!$C$8*AVERAGEIF($F$5:$F$1014,F825,$H$5:$H$1014)),"Excl",IF(B825&gt;='Work 1'!$C$5,"LTM","Prior"))</f>
        <v/>
      </c>
      <c r="L825">
        <f>I825-J825</f>
        <v/>
      </c>
    </row>
    <row r="826" ht="14.25" customHeight="1" s="54">
      <c r="A826" s="20" t="inlineStr">
        <is>
          <t>BH-40818</t>
        </is>
      </c>
      <c r="B826" s="21" t="n">
        <v>46054</v>
      </c>
      <c r="C826" s="20" t="inlineStr">
        <is>
          <t>C09</t>
        </is>
      </c>
      <c r="D826" s="20" t="inlineStr">
        <is>
          <t>Maple Ridge Grocers</t>
        </is>
      </c>
      <c r="E826" s="20" t="inlineStr">
        <is>
          <t>Grocery</t>
        </is>
      </c>
      <c r="F826" s="20" t="inlineStr">
        <is>
          <t>Granola</t>
        </is>
      </c>
      <c r="G826" s="22" t="n">
        <v>1582</v>
      </c>
      <c r="H826" s="23" t="n">
        <v>43.05</v>
      </c>
      <c r="I826" s="23" t="n">
        <v>68105.10000000001</v>
      </c>
      <c r="J826" s="23" t="n">
        <v>42634.9</v>
      </c>
      <c r="K826">
        <f>IF(OR(COUNTIF($A$5:A826,A826)&gt;1,G826&lt;0,C826="",B826&lt;'Work 1'!$C$6,B826&gt;'Work 1'!$C$7,H826&gt;'Work 1'!$C$8*AVERAGEIF($F$5:$F$1014,F826,$H$5:$H$1014)),"Excl",IF(B826&gt;='Work 1'!$C$5,"LTM","Prior"))</f>
        <v/>
      </c>
      <c r="L826">
        <f>I826-J826</f>
        <v/>
      </c>
    </row>
    <row r="827" ht="14.25" customHeight="1" s="54">
      <c r="A827" s="20" t="inlineStr">
        <is>
          <t>BH-40819</t>
        </is>
      </c>
      <c r="B827" s="21" t="n">
        <v>46054</v>
      </c>
      <c r="C827" s="20" t="inlineStr">
        <is>
          <t>C09</t>
        </is>
      </c>
      <c r="D827" s="20" t="inlineStr">
        <is>
          <t>Maple Ridge Grocers</t>
        </is>
      </c>
      <c r="E827" s="20" t="inlineStr">
        <is>
          <t>Grocery</t>
        </is>
      </c>
      <c r="F827" s="20" t="inlineStr">
        <is>
          <t>Snack Bars</t>
        </is>
      </c>
      <c r="G827" s="22" t="n">
        <v>1253</v>
      </c>
      <c r="H827" s="23" t="n">
        <v>33.35</v>
      </c>
      <c r="I827" s="23" t="n">
        <v>41787.55</v>
      </c>
      <c r="J827" s="23" t="n">
        <v>25623.85</v>
      </c>
      <c r="K827">
        <f>IF(OR(COUNTIF($A$5:A827,A827)&gt;1,G827&lt;0,C827="",B827&lt;'Work 1'!$C$6,B827&gt;'Work 1'!$C$7,H827&gt;'Work 1'!$C$8*AVERAGEIF($F$5:$F$1014,F827,$H$5:$H$1014)),"Excl",IF(B827&gt;='Work 1'!$C$5,"LTM","Prior"))</f>
        <v/>
      </c>
      <c r="L827">
        <f>I827-J827</f>
        <v/>
      </c>
    </row>
    <row r="828" ht="14.25" customHeight="1" s="54">
      <c r="A828" s="20" t="inlineStr">
        <is>
          <t>BH-40820</t>
        </is>
      </c>
      <c r="B828" s="21" t="n">
        <v>46054</v>
      </c>
      <c r="C828" s="20" t="inlineStr">
        <is>
          <t>C10</t>
        </is>
      </c>
      <c r="D828" s="20" t="inlineStr">
        <is>
          <t>Lakeshore Foods</t>
        </is>
      </c>
      <c r="E828" s="20" t="inlineStr">
        <is>
          <t>Grocery</t>
        </is>
      </c>
      <c r="F828" s="20" t="inlineStr">
        <is>
          <t>Granola</t>
        </is>
      </c>
      <c r="G828" s="22" t="n">
        <v>1304</v>
      </c>
      <c r="H828" s="23" t="n">
        <v>43.05</v>
      </c>
      <c r="I828" s="23" t="n">
        <v>56137.2</v>
      </c>
      <c r="J828" s="23" t="n">
        <v>35142.8</v>
      </c>
      <c r="K828">
        <f>IF(OR(COUNTIF($A$5:A828,A828)&gt;1,G828&lt;0,C828="",B828&lt;'Work 1'!$C$6,B828&gt;'Work 1'!$C$7,H828&gt;'Work 1'!$C$8*AVERAGEIF($F$5:$F$1014,F828,$H$5:$H$1014)),"Excl",IF(B828&gt;='Work 1'!$C$5,"LTM","Prior"))</f>
        <v/>
      </c>
      <c r="L828">
        <f>I828-J828</f>
        <v/>
      </c>
    </row>
    <row r="829" ht="14.25" customHeight="1" s="54">
      <c r="A829" s="20" t="inlineStr">
        <is>
          <t>BH-40821</t>
        </is>
      </c>
      <c r="B829" s="21" t="n">
        <v>46054</v>
      </c>
      <c r="C829" s="20" t="inlineStr">
        <is>
          <t>C10</t>
        </is>
      </c>
      <c r="D829" s="20" t="inlineStr">
        <is>
          <t>Lakeshore Foods</t>
        </is>
      </c>
      <c r="E829" s="20" t="inlineStr">
        <is>
          <t>Grocery</t>
        </is>
      </c>
      <c r="F829" s="20" t="inlineStr">
        <is>
          <t>Nut Butter</t>
        </is>
      </c>
      <c r="G829" s="22" t="n">
        <v>546</v>
      </c>
      <c r="H829" s="23" t="n">
        <v>57.25</v>
      </c>
      <c r="I829" s="23" t="n">
        <v>31258.5</v>
      </c>
      <c r="J829" s="23" t="n">
        <v>21567</v>
      </c>
      <c r="K829">
        <f>IF(OR(COUNTIF($A$5:A829,A829)&gt;1,G829&lt;0,C829="",B829&lt;'Work 1'!$C$6,B829&gt;'Work 1'!$C$7,H829&gt;'Work 1'!$C$8*AVERAGEIF($F$5:$F$1014,F829,$H$5:$H$1014)),"Excl",IF(B829&gt;='Work 1'!$C$5,"LTM","Prior"))</f>
        <v/>
      </c>
      <c r="L829">
        <f>I829-J829</f>
        <v/>
      </c>
    </row>
    <row r="830" ht="14.25" customHeight="1" s="54">
      <c r="A830" s="20" t="inlineStr">
        <is>
          <t>BH-40822</t>
        </is>
      </c>
      <c r="B830" s="21" t="n">
        <v>46054</v>
      </c>
      <c r="C830" s="20" t="inlineStr">
        <is>
          <t>C11</t>
        </is>
      </c>
      <c r="D830" s="20" t="inlineStr">
        <is>
          <t>Copper Valley Market</t>
        </is>
      </c>
      <c r="E830" s="20" t="inlineStr">
        <is>
          <t>Grocery</t>
        </is>
      </c>
      <c r="F830" s="20" t="inlineStr">
        <is>
          <t>Granola</t>
        </is>
      </c>
      <c r="G830" s="22" t="n">
        <v>1261</v>
      </c>
      <c r="H830" s="23" t="n">
        <v>43.05</v>
      </c>
      <c r="I830" s="23" t="n">
        <v>54286.05</v>
      </c>
      <c r="J830" s="23" t="n">
        <v>33983.95</v>
      </c>
      <c r="K830">
        <f>IF(OR(COUNTIF($A$5:A830,A830)&gt;1,G830&lt;0,C830="",B830&lt;'Work 1'!$C$6,B830&gt;'Work 1'!$C$7,H830&gt;'Work 1'!$C$8*AVERAGEIF($F$5:$F$1014,F830,$H$5:$H$1014)),"Excl",IF(B830&gt;='Work 1'!$C$5,"LTM","Prior"))</f>
        <v/>
      </c>
      <c r="L830">
        <f>I830-J830</f>
        <v/>
      </c>
    </row>
    <row r="831" ht="14.25" customHeight="1" s="54">
      <c r="A831" s="20" t="inlineStr">
        <is>
          <t>BH-40823</t>
        </is>
      </c>
      <c r="B831" s="21" t="n">
        <v>46054</v>
      </c>
      <c r="C831" s="20" t="inlineStr">
        <is>
          <t>C11</t>
        </is>
      </c>
      <c r="D831" s="20" t="inlineStr">
        <is>
          <t>Copper Valley Market</t>
        </is>
      </c>
      <c r="E831" s="20" t="inlineStr">
        <is>
          <t>Grocery</t>
        </is>
      </c>
      <c r="F831" s="20" t="inlineStr">
        <is>
          <t>Snack Bars</t>
        </is>
      </c>
      <c r="G831" s="22" t="n">
        <v>1314</v>
      </c>
      <c r="H831" s="23" t="n">
        <v>33.35</v>
      </c>
      <c r="I831" s="23" t="n">
        <v>43821.9</v>
      </c>
      <c r="J831" s="23" t="n">
        <v>26871.3</v>
      </c>
      <c r="K831">
        <f>IF(OR(COUNTIF($A$5:A831,A831)&gt;1,G831&lt;0,C831="",B831&lt;'Work 1'!$C$6,B831&gt;'Work 1'!$C$7,H831&gt;'Work 1'!$C$8*AVERAGEIF($F$5:$F$1014,F831,$H$5:$H$1014)),"Excl",IF(B831&gt;='Work 1'!$C$5,"LTM","Prior"))</f>
        <v/>
      </c>
      <c r="L831">
        <f>I831-J831</f>
        <v/>
      </c>
    </row>
    <row r="832" ht="14.25" customHeight="1" s="54">
      <c r="A832" s="20" t="inlineStr">
        <is>
          <t>BH-40824</t>
        </is>
      </c>
      <c r="B832" s="21" t="n">
        <v>46054</v>
      </c>
      <c r="C832" s="20" t="inlineStr">
        <is>
          <t>C12</t>
        </is>
      </c>
      <c r="D832" s="20" t="inlineStr">
        <is>
          <t>Riverbend Grocery</t>
        </is>
      </c>
      <c r="E832" s="20" t="inlineStr">
        <is>
          <t>Grocery</t>
        </is>
      </c>
      <c r="F832" s="20" t="inlineStr">
        <is>
          <t>Granola</t>
        </is>
      </c>
      <c r="G832" s="22" t="n">
        <v>1705</v>
      </c>
      <c r="H832" s="23" t="n">
        <v>43.05</v>
      </c>
      <c r="I832" s="23" t="n">
        <v>73400.25</v>
      </c>
      <c r="J832" s="23" t="n">
        <v>45949.75</v>
      </c>
      <c r="K832">
        <f>IF(OR(COUNTIF($A$5:A832,A832)&gt;1,G832&lt;0,C832="",B832&lt;'Work 1'!$C$6,B832&gt;'Work 1'!$C$7,H832&gt;'Work 1'!$C$8*AVERAGEIF($F$5:$F$1014,F832,$H$5:$H$1014)),"Excl",IF(B832&gt;='Work 1'!$C$5,"LTM","Prior"))</f>
        <v/>
      </c>
      <c r="L832">
        <f>I832-J832</f>
        <v/>
      </c>
    </row>
    <row r="833" ht="14.25" customHeight="1" s="54">
      <c r="A833" s="20" t="inlineStr">
        <is>
          <t>BH-40825</t>
        </is>
      </c>
      <c r="B833" s="21" t="n">
        <v>46054</v>
      </c>
      <c r="C833" s="20" t="inlineStr">
        <is>
          <t>C12</t>
        </is>
      </c>
      <c r="D833" s="20" t="inlineStr">
        <is>
          <t>Riverbend Grocery</t>
        </is>
      </c>
      <c r="E833" s="20" t="inlineStr">
        <is>
          <t>Grocery</t>
        </is>
      </c>
      <c r="F833" s="20" t="inlineStr">
        <is>
          <t>Nut Butter</t>
        </is>
      </c>
      <c r="G833" s="22" t="n">
        <v>731</v>
      </c>
      <c r="H833" s="23" t="n">
        <v>57.25</v>
      </c>
      <c r="I833" s="23" t="n">
        <v>41849.75</v>
      </c>
      <c r="J833" s="23" t="n">
        <v>28874.5</v>
      </c>
      <c r="K833">
        <f>IF(OR(COUNTIF($A$5:A833,A833)&gt;1,G833&lt;0,C833="",B833&lt;'Work 1'!$C$6,B833&gt;'Work 1'!$C$7,H833&gt;'Work 1'!$C$8*AVERAGEIF($F$5:$F$1014,F833,$H$5:$H$1014)),"Excl",IF(B833&gt;='Work 1'!$C$5,"LTM","Prior"))</f>
        <v/>
      </c>
      <c r="L833">
        <f>I833-J833</f>
        <v/>
      </c>
    </row>
    <row r="834" ht="14.25" customHeight="1" s="54">
      <c r="A834" s="20" t="inlineStr">
        <is>
          <t>BH-40826</t>
        </is>
      </c>
      <c r="B834" s="21" t="n">
        <v>46054</v>
      </c>
      <c r="C834" s="20" t="inlineStr">
        <is>
          <t>C13</t>
        </is>
      </c>
      <c r="D834" s="20" t="inlineStr">
        <is>
          <t>Sunfield Markets</t>
        </is>
      </c>
      <c r="E834" s="20" t="inlineStr">
        <is>
          <t>Grocery</t>
        </is>
      </c>
      <c r="F834" s="20" t="inlineStr">
        <is>
          <t>Granola</t>
        </is>
      </c>
      <c r="G834" s="22" t="n">
        <v>1065</v>
      </c>
      <c r="H834" s="23" t="n">
        <v>43.05</v>
      </c>
      <c r="I834" s="23" t="n">
        <v>45848.25</v>
      </c>
      <c r="J834" s="23" t="n">
        <v>28701.75</v>
      </c>
      <c r="K834">
        <f>IF(OR(COUNTIF($A$5:A834,A834)&gt;1,G834&lt;0,C834="",B834&lt;'Work 1'!$C$6,B834&gt;'Work 1'!$C$7,H834&gt;'Work 1'!$C$8*AVERAGEIF($F$5:$F$1014,F834,$H$5:$H$1014)),"Excl",IF(B834&gt;='Work 1'!$C$5,"LTM","Prior"))</f>
        <v/>
      </c>
      <c r="L834">
        <f>I834-J834</f>
        <v/>
      </c>
    </row>
    <row r="835" ht="14.25" customHeight="1" s="54">
      <c r="A835" s="20" t="inlineStr">
        <is>
          <t>BH-40827</t>
        </is>
      </c>
      <c r="B835" s="21" t="n">
        <v>46054</v>
      </c>
      <c r="C835" s="20" t="inlineStr">
        <is>
          <t>C13</t>
        </is>
      </c>
      <c r="D835" s="20" t="inlineStr">
        <is>
          <t>Sunfield Markets</t>
        </is>
      </c>
      <c r="E835" s="20" t="inlineStr">
        <is>
          <t>Grocery</t>
        </is>
      </c>
      <c r="F835" s="20" t="inlineStr">
        <is>
          <t>Snack Bars</t>
        </is>
      </c>
      <c r="G835" s="22" t="n">
        <v>1104</v>
      </c>
      <c r="H835" s="23" t="n">
        <v>33.35</v>
      </c>
      <c r="I835" s="23" t="n">
        <v>36818.4</v>
      </c>
      <c r="J835" s="23" t="n">
        <v>22576.8</v>
      </c>
      <c r="K835">
        <f>IF(OR(COUNTIF($A$5:A835,A835)&gt;1,G835&lt;0,C835="",B835&lt;'Work 1'!$C$6,B835&gt;'Work 1'!$C$7,H835&gt;'Work 1'!$C$8*AVERAGEIF($F$5:$F$1014,F835,$H$5:$H$1014)),"Excl",IF(B835&gt;='Work 1'!$C$5,"LTM","Prior"))</f>
        <v/>
      </c>
      <c r="L835">
        <f>I835-J835</f>
        <v/>
      </c>
    </row>
    <row r="836" ht="14.25" customHeight="1" s="54">
      <c r="A836" s="20" t="inlineStr">
        <is>
          <t>BH-40828</t>
        </is>
      </c>
      <c r="B836" s="21" t="n">
        <v>46054</v>
      </c>
      <c r="C836" s="20" t="inlineStr">
        <is>
          <t>C14</t>
        </is>
      </c>
      <c r="D836" s="20" t="inlineStr">
        <is>
          <t>Oak Hollow Foods</t>
        </is>
      </c>
      <c r="E836" s="20" t="inlineStr">
        <is>
          <t>Grocery</t>
        </is>
      </c>
      <c r="F836" s="20" t="inlineStr">
        <is>
          <t>Granola</t>
        </is>
      </c>
      <c r="G836" s="22" t="n">
        <v>1114</v>
      </c>
      <c r="H836" s="23" t="n">
        <v>43.05</v>
      </c>
      <c r="I836" s="23" t="n">
        <v>47957.7</v>
      </c>
      <c r="J836" s="23" t="n">
        <v>30022.3</v>
      </c>
      <c r="K836">
        <f>IF(OR(COUNTIF($A$5:A836,A836)&gt;1,G836&lt;0,C836="",B836&lt;'Work 1'!$C$6,B836&gt;'Work 1'!$C$7,H836&gt;'Work 1'!$C$8*AVERAGEIF($F$5:$F$1014,F836,$H$5:$H$1014)),"Excl",IF(B836&gt;='Work 1'!$C$5,"LTM","Prior"))</f>
        <v/>
      </c>
      <c r="L836">
        <f>I836-J836</f>
        <v/>
      </c>
    </row>
    <row r="837" ht="14.25" customHeight="1" s="54">
      <c r="A837" s="20" t="inlineStr">
        <is>
          <t>BH-40829</t>
        </is>
      </c>
      <c r="B837" s="21" t="n">
        <v>46054</v>
      </c>
      <c r="C837" s="20" t="inlineStr">
        <is>
          <t>C14</t>
        </is>
      </c>
      <c r="D837" s="20" t="inlineStr">
        <is>
          <t>Oak Hollow Foods</t>
        </is>
      </c>
      <c r="E837" s="20" t="inlineStr">
        <is>
          <t>Grocery</t>
        </is>
      </c>
      <c r="F837" s="20" t="inlineStr">
        <is>
          <t>Nut Butter</t>
        </is>
      </c>
      <c r="G837" s="22" t="n">
        <v>400</v>
      </c>
      <c r="H837" s="23" t="n">
        <v>57.25</v>
      </c>
      <c r="I837" s="23" t="n">
        <v>22900</v>
      </c>
      <c r="J837" s="23" t="n">
        <v>15800</v>
      </c>
      <c r="K837">
        <f>IF(OR(COUNTIF($A$5:A837,A837)&gt;1,G837&lt;0,C837="",B837&lt;'Work 1'!$C$6,B837&gt;'Work 1'!$C$7,H837&gt;'Work 1'!$C$8*AVERAGEIF($F$5:$F$1014,F837,$H$5:$H$1014)),"Excl",IF(B837&gt;='Work 1'!$C$5,"LTM","Prior"))</f>
        <v/>
      </c>
      <c r="L837">
        <f>I837-J837</f>
        <v/>
      </c>
    </row>
    <row r="838" ht="14.25" customHeight="1" s="54">
      <c r="A838" s="20" t="inlineStr">
        <is>
          <t>BH-40830</t>
        </is>
      </c>
      <c r="B838" s="21" t="n">
        <v>46054</v>
      </c>
      <c r="C838" s="20" t="inlineStr">
        <is>
          <t>C14</t>
        </is>
      </c>
      <c r="D838" s="20" t="inlineStr">
        <is>
          <t>Oak Hollow Foods</t>
        </is>
      </c>
      <c r="E838" s="20" t="inlineStr">
        <is>
          <t>Grocery</t>
        </is>
      </c>
      <c r="F838" s="20" t="inlineStr">
        <is>
          <t>Snack Bars</t>
        </is>
      </c>
      <c r="G838" s="22" t="n">
        <v>700</v>
      </c>
      <c r="H838" s="23" t="n">
        <v>33.35</v>
      </c>
      <c r="I838" s="23" t="n">
        <v>23345</v>
      </c>
      <c r="J838" s="23" t="n">
        <v>14315</v>
      </c>
      <c r="K838">
        <f>IF(OR(COUNTIF($A$5:A838,A838)&gt;1,G838&lt;0,C838="",B838&lt;'Work 1'!$C$6,B838&gt;'Work 1'!$C$7,H838&gt;'Work 1'!$C$8*AVERAGEIF($F$5:$F$1014,F838,$H$5:$H$1014)),"Excl",IF(B838&gt;='Work 1'!$C$5,"LTM","Prior"))</f>
        <v/>
      </c>
      <c r="L838">
        <f>I838-J838</f>
        <v/>
      </c>
    </row>
    <row r="839" ht="14.25" customHeight="1" s="54">
      <c r="A839" s="20" t="inlineStr">
        <is>
          <t>BH-40831</t>
        </is>
      </c>
      <c r="B839" s="21" t="n">
        <v>46054</v>
      </c>
      <c r="C839" s="20" t="inlineStr">
        <is>
          <t>C15</t>
        </is>
      </c>
      <c r="D839" s="20" t="inlineStr">
        <is>
          <t>Prairie Fresh</t>
        </is>
      </c>
      <c r="E839" s="20" t="inlineStr">
        <is>
          <t>Grocery</t>
        </is>
      </c>
      <c r="F839" s="20" t="inlineStr">
        <is>
          <t>Granola</t>
        </is>
      </c>
      <c r="G839" s="22" t="n">
        <v>1372</v>
      </c>
      <c r="H839" s="23" t="n">
        <v>43.05</v>
      </c>
      <c r="I839" s="23" t="n">
        <v>59064.6</v>
      </c>
      <c r="J839" s="23" t="n">
        <v>36975.4</v>
      </c>
      <c r="K839">
        <f>IF(OR(COUNTIF($A$5:A839,A839)&gt;1,G839&lt;0,C839="",B839&lt;'Work 1'!$C$6,B839&gt;'Work 1'!$C$7,H839&gt;'Work 1'!$C$8*AVERAGEIF($F$5:$F$1014,F839,$H$5:$H$1014)),"Excl",IF(B839&gt;='Work 1'!$C$5,"LTM","Prior"))</f>
        <v/>
      </c>
      <c r="L839">
        <f>I839-J839</f>
        <v/>
      </c>
    </row>
    <row r="840" ht="14.25" customHeight="1" s="54">
      <c r="A840" s="20" t="inlineStr">
        <is>
          <t>BH-40832</t>
        </is>
      </c>
      <c r="B840" s="21" t="n">
        <v>46054</v>
      </c>
      <c r="C840" s="20" t="inlineStr">
        <is>
          <t>C15</t>
        </is>
      </c>
      <c r="D840" s="20" t="inlineStr">
        <is>
          <t>Prairie Fresh</t>
        </is>
      </c>
      <c r="E840" s="20" t="inlineStr">
        <is>
          <t>Grocery</t>
        </is>
      </c>
      <c r="F840" s="20" t="inlineStr">
        <is>
          <t>Snack Bars</t>
        </is>
      </c>
      <c r="G840" s="22" t="n">
        <v>1020</v>
      </c>
      <c r="H840" s="23" t="n">
        <v>33.35</v>
      </c>
      <c r="I840" s="23" t="n">
        <v>34017</v>
      </c>
      <c r="J840" s="23" t="n">
        <v>20859</v>
      </c>
      <c r="K840">
        <f>IF(OR(COUNTIF($A$5:A840,A840)&gt;1,G840&lt;0,C840="",B840&lt;'Work 1'!$C$6,B840&gt;'Work 1'!$C$7,H840&gt;'Work 1'!$C$8*AVERAGEIF($F$5:$F$1014,F840,$H$5:$H$1014)),"Excl",IF(B840&gt;='Work 1'!$C$5,"LTM","Prior"))</f>
        <v/>
      </c>
      <c r="L840">
        <f>I840-J840</f>
        <v/>
      </c>
    </row>
    <row r="841" ht="14.25" customHeight="1" s="54">
      <c r="A841" s="20" t="inlineStr">
        <is>
          <t>BH-40833</t>
        </is>
      </c>
      <c r="B841" s="21" t="n">
        <v>46054</v>
      </c>
      <c r="C841" s="20" t="inlineStr">
        <is>
          <t>C16</t>
        </is>
      </c>
      <c r="D841" s="20" t="inlineStr">
        <is>
          <t>Bay Street Market</t>
        </is>
      </c>
      <c r="E841" s="20" t="inlineStr">
        <is>
          <t>Grocery</t>
        </is>
      </c>
      <c r="F841" s="20" t="inlineStr">
        <is>
          <t>Granola</t>
        </is>
      </c>
      <c r="G841" s="22" t="n">
        <v>980</v>
      </c>
      <c r="H841" s="23" t="n">
        <v>43.05</v>
      </c>
      <c r="I841" s="23" t="n">
        <v>42189</v>
      </c>
      <c r="J841" s="23" t="n">
        <v>26411</v>
      </c>
      <c r="K841">
        <f>IF(OR(COUNTIF($A$5:A841,A841)&gt;1,G841&lt;0,C841="",B841&lt;'Work 1'!$C$6,B841&gt;'Work 1'!$C$7,H841&gt;'Work 1'!$C$8*AVERAGEIF($F$5:$F$1014,F841,$H$5:$H$1014)),"Excl",IF(B841&gt;='Work 1'!$C$5,"LTM","Prior"))</f>
        <v/>
      </c>
      <c r="L841">
        <f>I841-J841</f>
        <v/>
      </c>
    </row>
    <row r="842" ht="14.25" customHeight="1" s="54">
      <c r="A842" s="20" t="inlineStr">
        <is>
          <t>BH-40834</t>
        </is>
      </c>
      <c r="B842" s="21" t="n">
        <v>46054</v>
      </c>
      <c r="C842" s="20" t="inlineStr">
        <is>
          <t>C16</t>
        </is>
      </c>
      <c r="D842" s="20" t="inlineStr">
        <is>
          <t>Bay Street Market</t>
        </is>
      </c>
      <c r="E842" s="20" t="inlineStr">
        <is>
          <t>Grocery</t>
        </is>
      </c>
      <c r="F842" s="20" t="inlineStr">
        <is>
          <t>Nut Butter</t>
        </is>
      </c>
      <c r="G842" s="22" t="n">
        <v>631</v>
      </c>
      <c r="H842" s="23" t="n">
        <v>57.25</v>
      </c>
      <c r="I842" s="23" t="n">
        <v>36124.75</v>
      </c>
      <c r="J842" s="23" t="n">
        <v>24924.5</v>
      </c>
      <c r="K842">
        <f>IF(OR(COUNTIF($A$5:A842,A842)&gt;1,G842&lt;0,C842="",B842&lt;'Work 1'!$C$6,B842&gt;'Work 1'!$C$7,H842&gt;'Work 1'!$C$8*AVERAGEIF($F$5:$F$1014,F842,$H$5:$H$1014)),"Excl",IF(B842&gt;='Work 1'!$C$5,"LTM","Prior"))</f>
        <v/>
      </c>
      <c r="L842">
        <f>I842-J842</f>
        <v/>
      </c>
    </row>
    <row r="843" ht="14.25" customHeight="1" s="54">
      <c r="A843" s="20" t="inlineStr">
        <is>
          <t>BH-40835</t>
        </is>
      </c>
      <c r="B843" s="21" t="n">
        <v>46054</v>
      </c>
      <c r="C843" s="20" t="inlineStr">
        <is>
          <t>C19</t>
        </is>
      </c>
      <c r="D843" s="20" t="inlineStr">
        <is>
          <t>Greenway Markets</t>
        </is>
      </c>
      <c r="E843" s="20" t="inlineStr">
        <is>
          <t>Grocery</t>
        </is>
      </c>
      <c r="F843" s="20" t="inlineStr">
        <is>
          <t>Granola</t>
        </is>
      </c>
      <c r="G843" s="22" t="n">
        <v>1538</v>
      </c>
      <c r="H843" s="23" t="n">
        <v>43.05</v>
      </c>
      <c r="I843" s="23" t="n">
        <v>66210.89999999999</v>
      </c>
      <c r="J843" s="23" t="n">
        <v>41449.1</v>
      </c>
      <c r="K843">
        <f>IF(OR(COUNTIF($A$5:A843,A843)&gt;1,G843&lt;0,C843="",B843&lt;'Work 1'!$C$6,B843&gt;'Work 1'!$C$7,H843&gt;'Work 1'!$C$8*AVERAGEIF($F$5:$F$1014,F843,$H$5:$H$1014)),"Excl",IF(B843&gt;='Work 1'!$C$5,"LTM","Prior"))</f>
        <v/>
      </c>
      <c r="L843">
        <f>I843-J843</f>
        <v/>
      </c>
    </row>
    <row r="844" ht="14.25" customHeight="1" s="54">
      <c r="A844" s="20" t="inlineStr">
        <is>
          <t>BH-40836</t>
        </is>
      </c>
      <c r="B844" s="21" t="n">
        <v>46054</v>
      </c>
      <c r="C844" s="20" t="inlineStr">
        <is>
          <t>C19</t>
        </is>
      </c>
      <c r="D844" s="20" t="inlineStr">
        <is>
          <t>Greenway Markets</t>
        </is>
      </c>
      <c r="E844" s="20" t="inlineStr">
        <is>
          <t>Grocery</t>
        </is>
      </c>
      <c r="F844" s="20" t="inlineStr">
        <is>
          <t>Nut Butter</t>
        </is>
      </c>
      <c r="G844" s="22" t="n">
        <v>708</v>
      </c>
      <c r="H844" s="23" t="n">
        <v>57.25</v>
      </c>
      <c r="I844" s="23" t="n">
        <v>40533</v>
      </c>
      <c r="J844" s="23" t="n">
        <v>27966</v>
      </c>
      <c r="K844">
        <f>IF(OR(COUNTIF($A$5:A844,A844)&gt;1,G844&lt;0,C844="",B844&lt;'Work 1'!$C$6,B844&gt;'Work 1'!$C$7,H844&gt;'Work 1'!$C$8*AVERAGEIF($F$5:$F$1014,F844,$H$5:$H$1014)),"Excl",IF(B844&gt;='Work 1'!$C$5,"LTM","Prior"))</f>
        <v/>
      </c>
      <c r="L844">
        <f>I844-J844</f>
        <v/>
      </c>
    </row>
    <row r="845" ht="14.25" customHeight="1" s="54">
      <c r="A845" s="20" t="inlineStr">
        <is>
          <t>BH-40837</t>
        </is>
      </c>
      <c r="B845" s="21" t="n">
        <v>46054</v>
      </c>
      <c r="C845" s="20" t="inlineStr">
        <is>
          <t>C19</t>
        </is>
      </c>
      <c r="D845" s="20" t="inlineStr">
        <is>
          <t>Greenway Markets</t>
        </is>
      </c>
      <c r="E845" s="20" t="inlineStr">
        <is>
          <t>Grocery</t>
        </is>
      </c>
      <c r="F845" s="20" t="inlineStr">
        <is>
          <t>Snack Bars</t>
        </is>
      </c>
      <c r="G845" s="22" t="n">
        <v>748</v>
      </c>
      <c r="H845" s="23" t="n">
        <v>33.35</v>
      </c>
      <c r="I845" s="23" t="n">
        <v>24945.8</v>
      </c>
      <c r="J845" s="23" t="n">
        <v>15296.6</v>
      </c>
      <c r="K845">
        <f>IF(OR(COUNTIF($A$5:A845,A845)&gt;1,G845&lt;0,C845="",B845&lt;'Work 1'!$C$6,B845&gt;'Work 1'!$C$7,H845&gt;'Work 1'!$C$8*AVERAGEIF($F$5:$F$1014,F845,$H$5:$H$1014)),"Excl",IF(B845&gt;='Work 1'!$C$5,"LTM","Prior"))</f>
        <v/>
      </c>
      <c r="L845">
        <f>I845-J845</f>
        <v/>
      </c>
    </row>
    <row r="846" ht="14.25" customHeight="1" s="54">
      <c r="A846" s="20" t="inlineStr">
        <is>
          <t>BH-40838</t>
        </is>
      </c>
      <c r="B846" s="21" t="n">
        <v>46082</v>
      </c>
      <c r="C846" s="20" t="inlineStr">
        <is>
          <t>C01</t>
        </is>
      </c>
      <c r="D846" s="20" t="inlineStr">
        <is>
          <t>Northfield Markets</t>
        </is>
      </c>
      <c r="E846" s="20" t="inlineStr">
        <is>
          <t>Grocery</t>
        </is>
      </c>
      <c r="F846" s="20" t="inlineStr">
        <is>
          <t>Granola</t>
        </is>
      </c>
      <c r="G846" s="22" t="n">
        <v>16071</v>
      </c>
      <c r="H846" s="23" t="n">
        <v>39.61</v>
      </c>
      <c r="I846" s="23" t="n">
        <v>636572.3100000001</v>
      </c>
      <c r="J846" s="23" t="n">
        <v>433113.45</v>
      </c>
      <c r="K846">
        <f>IF(OR(COUNTIF($A$5:A846,A846)&gt;1,G846&lt;0,C846="",B846&lt;'Work 1'!$C$6,B846&gt;'Work 1'!$C$7,H846&gt;'Work 1'!$C$8*AVERAGEIF($F$5:$F$1014,F846,$H$5:$H$1014)),"Excl",IF(B846&gt;='Work 1'!$C$5,"LTM","Prior"))</f>
        <v/>
      </c>
      <c r="L846">
        <f>I846-J846</f>
        <v/>
      </c>
    </row>
    <row r="847" ht="14.25" customHeight="1" s="54">
      <c r="A847" s="20" t="inlineStr">
        <is>
          <t>BH-40838</t>
        </is>
      </c>
      <c r="B847" s="21" t="n">
        <v>46082</v>
      </c>
      <c r="C847" s="20" t="inlineStr">
        <is>
          <t>C01</t>
        </is>
      </c>
      <c r="D847" s="20" t="inlineStr">
        <is>
          <t>Northfield Markets</t>
        </is>
      </c>
      <c r="E847" s="20" t="inlineStr">
        <is>
          <t>Grocery</t>
        </is>
      </c>
      <c r="F847" s="20" t="inlineStr">
        <is>
          <t>Granola</t>
        </is>
      </c>
      <c r="G847" s="22" t="n">
        <v>16071</v>
      </c>
      <c r="H847" s="23" t="n">
        <v>39.61</v>
      </c>
      <c r="I847" s="23" t="n">
        <v>636572.3100000001</v>
      </c>
      <c r="J847" s="23" t="n">
        <v>433113.45</v>
      </c>
      <c r="K847">
        <f>IF(OR(COUNTIF($A$5:A847,A847)&gt;1,G847&lt;0,C847="",B847&lt;'Work 1'!$C$6,B847&gt;'Work 1'!$C$7,H847&gt;'Work 1'!$C$8*AVERAGEIF($F$5:$F$1014,F847,$H$5:$H$1014)),"Excl",IF(B847&gt;='Work 1'!$C$5,"LTM","Prior"))</f>
        <v/>
      </c>
      <c r="L847">
        <f>I847-J847</f>
        <v/>
      </c>
    </row>
    <row r="848" ht="14.25" customHeight="1" s="54">
      <c r="A848" s="20" t="inlineStr">
        <is>
          <t>BH-40839</t>
        </is>
      </c>
      <c r="B848" s="21" t="n">
        <v>46082</v>
      </c>
      <c r="C848" s="20" t="inlineStr">
        <is>
          <t>C01</t>
        </is>
      </c>
      <c r="D848" s="20" t="inlineStr">
        <is>
          <t>Northfield Markets</t>
        </is>
      </c>
      <c r="E848" s="20" t="inlineStr">
        <is>
          <t>Grocery</t>
        </is>
      </c>
      <c r="F848" s="20" t="inlineStr">
        <is>
          <t>Nut Butter</t>
        </is>
      </c>
      <c r="G848" s="22" t="n">
        <v>8430</v>
      </c>
      <c r="H848" s="23" t="n">
        <v>52.67</v>
      </c>
      <c r="I848" s="23" t="n">
        <v>444008.1</v>
      </c>
      <c r="J848" s="23" t="n">
        <v>332985</v>
      </c>
      <c r="K848">
        <f>IF(OR(COUNTIF($A$5:A848,A848)&gt;1,G848&lt;0,C848="",B848&lt;'Work 1'!$C$6,B848&gt;'Work 1'!$C$7,H848&gt;'Work 1'!$C$8*AVERAGEIF($F$5:$F$1014,F848,$H$5:$H$1014)),"Excl",IF(B848&gt;='Work 1'!$C$5,"LTM","Prior"))</f>
        <v/>
      </c>
      <c r="L848">
        <f>I848-J848</f>
        <v/>
      </c>
    </row>
    <row r="849" ht="14.25" customHeight="1" s="54">
      <c r="A849" s="20" t="inlineStr">
        <is>
          <t>BH-40840</t>
        </is>
      </c>
      <c r="B849" s="21" t="n">
        <v>46082</v>
      </c>
      <c r="C849" s="20" t="inlineStr">
        <is>
          <t>C01</t>
        </is>
      </c>
      <c r="D849" s="20" t="inlineStr">
        <is>
          <t>Northfield Markets</t>
        </is>
      </c>
      <c r="E849" s="20" t="inlineStr">
        <is>
          <t>Grocery</t>
        </is>
      </c>
      <c r="F849" s="20" t="inlineStr">
        <is>
          <t>Snack Bars</t>
        </is>
      </c>
      <c r="G849" s="22" t="n">
        <v>11982</v>
      </c>
      <c r="H849" s="23" t="n">
        <v>30.68</v>
      </c>
      <c r="I849" s="23" t="n">
        <v>367607.76</v>
      </c>
      <c r="J849" s="23" t="n">
        <v>245031.9</v>
      </c>
      <c r="K849">
        <f>IF(OR(COUNTIF($A$5:A849,A849)&gt;1,G849&lt;0,C849="",B849&lt;'Work 1'!$C$6,B849&gt;'Work 1'!$C$7,H849&gt;'Work 1'!$C$8*AVERAGEIF($F$5:$F$1014,F849,$H$5:$H$1014)),"Excl",IF(B849&gt;='Work 1'!$C$5,"LTM","Prior"))</f>
        <v/>
      </c>
      <c r="L849">
        <f>I849-J849</f>
        <v/>
      </c>
    </row>
    <row r="850" ht="14.25" customHeight="1" s="54">
      <c r="A850" s="20" t="inlineStr">
        <is>
          <t>BH-40841</t>
        </is>
      </c>
      <c r="B850" s="21" t="n">
        <v>46082</v>
      </c>
      <c r="C850" s="20" t="inlineStr">
        <is>
          <t>C02</t>
        </is>
      </c>
      <c r="D850" s="20" t="inlineStr">
        <is>
          <t>Crestline Grocers</t>
        </is>
      </c>
      <c r="E850" s="20" t="inlineStr">
        <is>
          <t>Grocery</t>
        </is>
      </c>
      <c r="F850" s="20" t="inlineStr">
        <is>
          <t>Granola</t>
        </is>
      </c>
      <c r="G850" s="22" t="n">
        <v>4019</v>
      </c>
      <c r="H850" s="23" t="n">
        <v>41.76</v>
      </c>
      <c r="I850" s="23" t="n">
        <v>167833.44</v>
      </c>
      <c r="J850" s="23" t="n">
        <v>108312.05</v>
      </c>
      <c r="K850">
        <f>IF(OR(COUNTIF($A$5:A850,A850)&gt;1,G850&lt;0,C850="",B850&lt;'Work 1'!$C$6,B850&gt;'Work 1'!$C$7,H850&gt;'Work 1'!$C$8*AVERAGEIF($F$5:$F$1014,F850,$H$5:$H$1014)),"Excl",IF(B850&gt;='Work 1'!$C$5,"LTM","Prior"))</f>
        <v/>
      </c>
      <c r="L850">
        <f>I850-J850</f>
        <v/>
      </c>
    </row>
    <row r="851" ht="14.25" customHeight="1" s="54">
      <c r="A851" s="20" t="inlineStr">
        <is>
          <t>BH-40842</t>
        </is>
      </c>
      <c r="B851" s="21" t="n">
        <v>46082</v>
      </c>
      <c r="C851" s="20" t="inlineStr">
        <is>
          <t>C02</t>
        </is>
      </c>
      <c r="D851" s="20" t="inlineStr">
        <is>
          <t>Crestline Grocers</t>
        </is>
      </c>
      <c r="E851" s="20" t="inlineStr">
        <is>
          <t>Grocery</t>
        </is>
      </c>
      <c r="F851" s="20" t="inlineStr">
        <is>
          <t>Nut Butter</t>
        </is>
      </c>
      <c r="G851" s="22" t="n">
        <v>1991</v>
      </c>
      <c r="H851" s="23" t="n">
        <v>55.53</v>
      </c>
      <c r="I851" s="23" t="n">
        <v>110560.23</v>
      </c>
      <c r="J851" s="23" t="n">
        <v>78644.5</v>
      </c>
      <c r="K851">
        <f>IF(OR(COUNTIF($A$5:A851,A851)&gt;1,G851&lt;0,C851="",B851&lt;'Work 1'!$C$6,B851&gt;'Work 1'!$C$7,H851&gt;'Work 1'!$C$8*AVERAGEIF($F$5:$F$1014,F851,$H$5:$H$1014)),"Excl",IF(B851&gt;='Work 1'!$C$5,"LTM","Prior"))</f>
        <v/>
      </c>
      <c r="L851">
        <f>I851-J851</f>
        <v/>
      </c>
    </row>
    <row r="852" ht="14.25" customHeight="1" s="54">
      <c r="A852" s="20" t="inlineStr">
        <is>
          <t>BH-40843</t>
        </is>
      </c>
      <c r="B852" s="21" t="n">
        <v>46082</v>
      </c>
      <c r="C852" s="20" t="inlineStr">
        <is>
          <t>C02</t>
        </is>
      </c>
      <c r="D852" s="20" t="inlineStr">
        <is>
          <t>Crestline Grocers</t>
        </is>
      </c>
      <c r="E852" s="20" t="inlineStr">
        <is>
          <t>Grocery</t>
        </is>
      </c>
      <c r="F852" s="20" t="inlineStr">
        <is>
          <t>Snack Bars</t>
        </is>
      </c>
      <c r="G852" s="22" t="n">
        <v>3644</v>
      </c>
      <c r="H852" s="23" t="n">
        <v>32.35</v>
      </c>
      <c r="I852" s="23" t="n">
        <v>117883.4</v>
      </c>
      <c r="J852" s="23" t="n">
        <v>74519.8</v>
      </c>
      <c r="K852">
        <f>IF(OR(COUNTIF($A$5:A852,A852)&gt;1,G852&lt;0,C852="",B852&lt;'Work 1'!$C$6,B852&gt;'Work 1'!$C$7,H852&gt;'Work 1'!$C$8*AVERAGEIF($F$5:$F$1014,F852,$H$5:$H$1014)),"Excl",IF(B852&gt;='Work 1'!$C$5,"LTM","Prior"))</f>
        <v/>
      </c>
      <c r="L852">
        <f>I852-J852</f>
        <v/>
      </c>
    </row>
    <row r="853" ht="14.25" customHeight="1" s="54">
      <c r="A853" s="20" t="inlineStr">
        <is>
          <t>BH-40844</t>
        </is>
      </c>
      <c r="B853" s="21" t="n">
        <v>46082</v>
      </c>
      <c r="C853" s="20" t="inlineStr">
        <is>
          <t>C03</t>
        </is>
      </c>
      <c r="D853" s="20" t="inlineStr">
        <is>
          <t>ValuClub Warehouse</t>
        </is>
      </c>
      <c r="E853" s="20" t="inlineStr">
        <is>
          <t>Club</t>
        </is>
      </c>
      <c r="F853" s="20" t="inlineStr">
        <is>
          <t>Granola</t>
        </is>
      </c>
      <c r="G853" s="22" t="n">
        <v>13514</v>
      </c>
      <c r="H853" s="23" t="n">
        <v>36.6</v>
      </c>
      <c r="I853" s="23" t="n">
        <v>494612.4</v>
      </c>
      <c r="J853" s="23" t="n">
        <v>364202.3</v>
      </c>
      <c r="K853">
        <f>IF(OR(COUNTIF($A$5:A853,A853)&gt;1,G853&lt;0,C853="",B853&lt;'Work 1'!$C$6,B853&gt;'Work 1'!$C$7,H853&gt;'Work 1'!$C$8*AVERAGEIF($F$5:$F$1014,F853,$H$5:$H$1014)),"Excl",IF(B853&gt;='Work 1'!$C$5,"LTM","Prior"))</f>
        <v/>
      </c>
      <c r="L853">
        <f>I853-J853</f>
        <v/>
      </c>
    </row>
    <row r="854" ht="14.25" customHeight="1" s="54">
      <c r="A854" s="20" t="inlineStr">
        <is>
          <t>BH-40845</t>
        </is>
      </c>
      <c r="B854" s="21" t="n">
        <v>46082</v>
      </c>
      <c r="C854" s="20" t="inlineStr">
        <is>
          <t>C03</t>
        </is>
      </c>
      <c r="D854" s="20" t="inlineStr">
        <is>
          <t>ValuClub Warehouse</t>
        </is>
      </c>
      <c r="E854" s="20" t="inlineStr">
        <is>
          <t>Club</t>
        </is>
      </c>
      <c r="F854" s="20" t="inlineStr">
        <is>
          <t>Snack Bars</t>
        </is>
      </c>
      <c r="G854" s="22" t="n">
        <v>14332</v>
      </c>
      <c r="H854" s="23" t="n">
        <v>25.35</v>
      </c>
      <c r="I854" s="23" t="n">
        <v>363316.2</v>
      </c>
      <c r="J854" s="23" t="n">
        <v>293089.4</v>
      </c>
      <c r="K854">
        <f>IF(OR(COUNTIF($A$5:A854,A854)&gt;1,G854&lt;0,C854="",B854&lt;'Work 1'!$C$6,B854&gt;'Work 1'!$C$7,H854&gt;'Work 1'!$C$8*AVERAGEIF($F$5:$F$1014,F854,$H$5:$H$1014)),"Excl",IF(B854&gt;='Work 1'!$C$5,"LTM","Prior"))</f>
        <v/>
      </c>
      <c r="L854">
        <f>I854-J854</f>
        <v/>
      </c>
    </row>
    <row r="855" ht="14.25" customHeight="1" s="54">
      <c r="A855" s="20" t="inlineStr">
        <is>
          <t>BH-40846</t>
        </is>
      </c>
      <c r="B855" s="21" t="n">
        <v>46082</v>
      </c>
      <c r="C855" s="20" t="inlineStr">
        <is>
          <t>C04</t>
        </is>
      </c>
      <c r="D855" s="20" t="inlineStr">
        <is>
          <t>Harvest Lane Co-op</t>
        </is>
      </c>
      <c r="E855" s="20" t="inlineStr">
        <is>
          <t>Grocery</t>
        </is>
      </c>
      <c r="F855" s="20" t="inlineStr">
        <is>
          <t>Granola</t>
        </is>
      </c>
      <c r="G855" s="22" t="n">
        <v>2862</v>
      </c>
      <c r="H855" s="23" t="n">
        <v>43.05</v>
      </c>
      <c r="I855" s="23" t="n">
        <v>123209.1</v>
      </c>
      <c r="J855" s="23" t="n">
        <v>77130.89999999999</v>
      </c>
      <c r="K855">
        <f>IF(OR(COUNTIF($A$5:A855,A855)&gt;1,G855&lt;0,C855="",B855&lt;'Work 1'!$C$6,B855&gt;'Work 1'!$C$7,H855&gt;'Work 1'!$C$8*AVERAGEIF($F$5:$F$1014,F855,$H$5:$H$1014)),"Excl",IF(B855&gt;='Work 1'!$C$5,"LTM","Prior"))</f>
        <v/>
      </c>
      <c r="L855">
        <f>I855-J855</f>
        <v/>
      </c>
    </row>
    <row r="856" ht="14.25" customHeight="1" s="54">
      <c r="A856" s="20" t="inlineStr">
        <is>
          <t>BH-40847</t>
        </is>
      </c>
      <c r="B856" s="21" t="n">
        <v>46082</v>
      </c>
      <c r="C856" s="20" t="inlineStr">
        <is>
          <t>C04</t>
        </is>
      </c>
      <c r="D856" s="20" t="inlineStr">
        <is>
          <t>Harvest Lane Co-op</t>
        </is>
      </c>
      <c r="E856" s="20" t="inlineStr">
        <is>
          <t>Grocery</t>
        </is>
      </c>
      <c r="F856" s="20" t="inlineStr">
        <is>
          <t>Nut Butter</t>
        </is>
      </c>
      <c r="G856" s="22" t="n">
        <v>1581</v>
      </c>
      <c r="H856" s="23" t="n">
        <v>57.25</v>
      </c>
      <c r="I856" s="23" t="n">
        <v>90512.25</v>
      </c>
      <c r="J856" s="23" t="n">
        <v>62449.5</v>
      </c>
      <c r="K856">
        <f>IF(OR(COUNTIF($A$5:A856,A856)&gt;1,G856&lt;0,C856="",B856&lt;'Work 1'!$C$6,B856&gt;'Work 1'!$C$7,H856&gt;'Work 1'!$C$8*AVERAGEIF($F$5:$F$1014,F856,$H$5:$H$1014)),"Excl",IF(B856&gt;='Work 1'!$C$5,"LTM","Prior"))</f>
        <v/>
      </c>
      <c r="L856">
        <f>I856-J856</f>
        <v/>
      </c>
    </row>
    <row r="857" ht="14.25" customHeight="1" s="54">
      <c r="A857" s="20" t="inlineStr">
        <is>
          <t>BH-40848</t>
        </is>
      </c>
      <c r="B857" s="21" t="n">
        <v>46082</v>
      </c>
      <c r="C857" s="20" t="inlineStr">
        <is>
          <t>C04</t>
        </is>
      </c>
      <c r="D857" s="20" t="inlineStr">
        <is>
          <t>Harvest Lane Co-op</t>
        </is>
      </c>
      <c r="E857" s="20" t="inlineStr">
        <is>
          <t>Grocery</t>
        </is>
      </c>
      <c r="F857" s="20" t="inlineStr">
        <is>
          <t>Snack Bars</t>
        </is>
      </c>
      <c r="G857" s="22" t="n">
        <v>1813</v>
      </c>
      <c r="H857" s="23" t="n">
        <v>33.35</v>
      </c>
      <c r="I857" s="23" t="n">
        <v>60463.55</v>
      </c>
      <c r="J857" s="23" t="n">
        <v>37075.85</v>
      </c>
      <c r="K857">
        <f>IF(OR(COUNTIF($A$5:A857,A857)&gt;1,G857&lt;0,C857="",B857&lt;'Work 1'!$C$6,B857&gt;'Work 1'!$C$7,H857&gt;'Work 1'!$C$8*AVERAGEIF($F$5:$F$1014,F857,$H$5:$H$1014)),"Excl",IF(B857&gt;='Work 1'!$C$5,"LTM","Prior"))</f>
        <v/>
      </c>
      <c r="L857">
        <f>I857-J857</f>
        <v/>
      </c>
    </row>
    <row r="858" ht="14.25" customHeight="1" s="54">
      <c r="A858" s="20" t="inlineStr">
        <is>
          <t>BH-40849</t>
        </is>
      </c>
      <c r="B858" s="21" t="n">
        <v>46082</v>
      </c>
      <c r="C858" s="20" t="inlineStr">
        <is>
          <t>C05</t>
        </is>
      </c>
      <c r="D858" s="20" t="inlineStr">
        <is>
          <t>Pioneer Foods Distribution</t>
        </is>
      </c>
      <c r="E858" s="20" t="inlineStr">
        <is>
          <t>Grocery</t>
        </is>
      </c>
      <c r="F858" s="20" t="inlineStr">
        <is>
          <t>Granola</t>
        </is>
      </c>
      <c r="G858" s="22" t="n">
        <v>3399</v>
      </c>
      <c r="H858" s="23" t="n">
        <v>38.74</v>
      </c>
      <c r="I858" s="23" t="n">
        <v>131677.26</v>
      </c>
      <c r="J858" s="23" t="n">
        <v>91603.05</v>
      </c>
      <c r="K858">
        <f>IF(OR(COUNTIF($A$5:A858,A858)&gt;1,G858&lt;0,C858="",B858&lt;'Work 1'!$C$6,B858&gt;'Work 1'!$C$7,H858&gt;'Work 1'!$C$8*AVERAGEIF($F$5:$F$1014,F858,$H$5:$H$1014)),"Excl",IF(B858&gt;='Work 1'!$C$5,"LTM","Prior"))</f>
        <v/>
      </c>
      <c r="L858">
        <f>I858-J858</f>
        <v/>
      </c>
    </row>
    <row r="859" ht="14.25" customHeight="1" s="54">
      <c r="A859" s="20" t="inlineStr">
        <is>
          <t>BH-40850</t>
        </is>
      </c>
      <c r="B859" s="21" t="n">
        <v>46082</v>
      </c>
      <c r="C859" s="20" t="inlineStr">
        <is>
          <t>C05</t>
        </is>
      </c>
      <c r="D859" s="20" t="inlineStr">
        <is>
          <t>Pioneer Foods Distribution</t>
        </is>
      </c>
      <c r="E859" s="20" t="inlineStr">
        <is>
          <t>Grocery</t>
        </is>
      </c>
      <c r="F859" s="20" t="inlineStr">
        <is>
          <t>Nut Butter</t>
        </is>
      </c>
      <c r="G859" s="22" t="n">
        <v>1915</v>
      </c>
      <c r="H859" s="23" t="n">
        <v>51.52</v>
      </c>
      <c r="I859" s="23" t="n">
        <v>98660.8</v>
      </c>
      <c r="J859" s="23" t="n">
        <v>75642.5</v>
      </c>
      <c r="K859">
        <f>IF(OR(COUNTIF($A$5:A859,A859)&gt;1,G859&lt;0,C859="",B859&lt;'Work 1'!$C$6,B859&gt;'Work 1'!$C$7,H859&gt;'Work 1'!$C$8*AVERAGEIF($F$5:$F$1014,F859,$H$5:$H$1014)),"Excl",IF(B859&gt;='Work 1'!$C$5,"LTM","Prior"))</f>
        <v/>
      </c>
      <c r="L859">
        <f>I859-J859</f>
        <v/>
      </c>
    </row>
    <row r="860" ht="14.25" customHeight="1" s="54">
      <c r="A860" s="20" t="inlineStr">
        <is>
          <t>BH-40851</t>
        </is>
      </c>
      <c r="B860" s="21" t="n">
        <v>46082</v>
      </c>
      <c r="C860" s="20" t="inlineStr">
        <is>
          <t>C05</t>
        </is>
      </c>
      <c r="D860" s="20" t="inlineStr">
        <is>
          <t>Pioneer Foods Distribution</t>
        </is>
      </c>
      <c r="E860" s="20" t="inlineStr">
        <is>
          <t>Grocery</t>
        </is>
      </c>
      <c r="F860" s="20" t="inlineStr">
        <is>
          <t>Snack Bars</t>
        </is>
      </c>
      <c r="G860" s="22" t="n">
        <v>3031</v>
      </c>
      <c r="H860" s="23" t="n">
        <v>30.02</v>
      </c>
      <c r="I860" s="23" t="n">
        <v>90990.62</v>
      </c>
      <c r="J860" s="23" t="n">
        <v>61983.95</v>
      </c>
      <c r="K860">
        <f>IF(OR(COUNTIF($A$5:A860,A860)&gt;1,G860&lt;0,C860="",B860&lt;'Work 1'!$C$6,B860&gt;'Work 1'!$C$7,H860&gt;'Work 1'!$C$8*AVERAGEIF($F$5:$F$1014,F860,$H$5:$H$1014)),"Excl",IF(B860&gt;='Work 1'!$C$5,"LTM","Prior"))</f>
        <v/>
      </c>
      <c r="L860">
        <f>I860-J860</f>
        <v/>
      </c>
    </row>
    <row r="861" ht="14.25" customHeight="1" s="54">
      <c r="A861" s="20" t="inlineStr">
        <is>
          <t>BH-40852</t>
        </is>
      </c>
      <c r="B861" s="21" t="n">
        <v>46082</v>
      </c>
      <c r="C861" s="20" t="inlineStr">
        <is>
          <t>C06</t>
        </is>
      </c>
      <c r="D861" s="20" t="inlineStr">
        <is>
          <t>Summit Club Stores</t>
        </is>
      </c>
      <c r="E861" s="20" t="inlineStr">
        <is>
          <t>Club</t>
        </is>
      </c>
      <c r="F861" s="20" t="inlineStr">
        <is>
          <t>Granola</t>
        </is>
      </c>
      <c r="G861" s="22" t="n">
        <v>5019</v>
      </c>
      <c r="H861" s="23" t="n">
        <v>36.6</v>
      </c>
      <c r="I861" s="23" t="n">
        <v>183695.4</v>
      </c>
      <c r="J861" s="23" t="n">
        <v>135262.05</v>
      </c>
      <c r="K861">
        <f>IF(OR(COUNTIF($A$5:A861,A861)&gt;1,G861&lt;0,C861="",B861&lt;'Work 1'!$C$6,B861&gt;'Work 1'!$C$7,H861&gt;'Work 1'!$C$8*AVERAGEIF($F$5:$F$1014,F861,$H$5:$H$1014)),"Excl",IF(B861&gt;='Work 1'!$C$5,"LTM","Prior"))</f>
        <v/>
      </c>
      <c r="L861">
        <f>I861-J861</f>
        <v/>
      </c>
    </row>
    <row r="862" ht="14.25" customHeight="1" s="54">
      <c r="A862" s="20" t="inlineStr">
        <is>
          <t>BH-40853</t>
        </is>
      </c>
      <c r="B862" s="21" t="n">
        <v>46082</v>
      </c>
      <c r="C862" s="20" t="inlineStr">
        <is>
          <t>C06</t>
        </is>
      </c>
      <c r="D862" s="20" t="inlineStr">
        <is>
          <t>Summit Club Stores</t>
        </is>
      </c>
      <c r="E862" s="20" t="inlineStr">
        <is>
          <t>Club</t>
        </is>
      </c>
      <c r="F862" s="20" t="inlineStr">
        <is>
          <t>Nut Butter</t>
        </is>
      </c>
      <c r="G862" s="22" t="n">
        <v>2707</v>
      </c>
      <c r="H862" s="23" t="n">
        <v>48.75</v>
      </c>
      <c r="I862" s="23" t="n">
        <v>131966.25</v>
      </c>
      <c r="J862" s="23" t="n">
        <v>106926.5</v>
      </c>
      <c r="K862">
        <f>IF(OR(COUNTIF($A$5:A862,A862)&gt;1,G862&lt;0,C862="",B862&lt;'Work 1'!$C$6,B862&gt;'Work 1'!$C$7,H862&gt;'Work 1'!$C$8*AVERAGEIF($F$5:$F$1014,F862,$H$5:$H$1014)),"Excl",IF(B862&gt;='Work 1'!$C$5,"LTM","Prior"))</f>
        <v/>
      </c>
      <c r="L862">
        <f>I862-J862</f>
        <v/>
      </c>
    </row>
    <row r="863" ht="14.25" customHeight="1" s="54">
      <c r="A863" s="20" t="inlineStr">
        <is>
          <t>BH-40854</t>
        </is>
      </c>
      <c r="B863" s="21" t="n">
        <v>46082</v>
      </c>
      <c r="C863" s="20" t="inlineStr">
        <is>
          <t>C07</t>
        </is>
      </c>
      <c r="D863" s="20" t="inlineStr">
        <is>
          <t>Bramble Hill Online Store</t>
        </is>
      </c>
      <c r="E863" s="20" t="inlineStr">
        <is>
          <t>Online</t>
        </is>
      </c>
      <c r="F863" s="20" t="inlineStr">
        <is>
          <t>Granola</t>
        </is>
      </c>
      <c r="G863" s="22" t="n">
        <v>3659</v>
      </c>
      <c r="H863" s="23" t="n">
        <v>49.4</v>
      </c>
      <c r="I863" s="23" t="n">
        <v>180754.6</v>
      </c>
      <c r="J863" s="23" t="n">
        <v>98610.05</v>
      </c>
      <c r="K863">
        <f>IF(OR(COUNTIF($A$5:A863,A863)&gt;1,G863&lt;0,C863="",B863&lt;'Work 1'!$C$6,B863&gt;'Work 1'!$C$7,H863&gt;'Work 1'!$C$8*AVERAGEIF($F$5:$F$1014,F863,$H$5:$H$1014)),"Excl",IF(B863&gt;='Work 1'!$C$5,"LTM","Prior"))</f>
        <v/>
      </c>
      <c r="L863">
        <f>I863-J863</f>
        <v/>
      </c>
    </row>
    <row r="864" ht="14.25" customHeight="1" s="54">
      <c r="A864" s="20" t="inlineStr">
        <is>
          <t>BH-40855</t>
        </is>
      </c>
      <c r="B864" s="21" t="n">
        <v>46082</v>
      </c>
      <c r="C864" s="20" t="inlineStr">
        <is>
          <t>C07</t>
        </is>
      </c>
      <c r="D864" s="20" t="inlineStr">
        <is>
          <t>Bramble Hill Online Store</t>
        </is>
      </c>
      <c r="E864" s="20" t="inlineStr">
        <is>
          <t>Online</t>
        </is>
      </c>
      <c r="F864" s="20" t="inlineStr">
        <is>
          <t>Nut Butter</t>
        </is>
      </c>
      <c r="G864" s="22" t="n">
        <v>2121</v>
      </c>
      <c r="H864" s="23" t="n">
        <v>64.40000000000001</v>
      </c>
      <c r="I864" s="23" t="n">
        <v>136592.4</v>
      </c>
      <c r="J864" s="23" t="n">
        <v>83779.5</v>
      </c>
      <c r="K864">
        <f>IF(OR(COUNTIF($A$5:A864,A864)&gt;1,G864&lt;0,C864="",B864&lt;'Work 1'!$C$6,B864&gt;'Work 1'!$C$7,H864&gt;'Work 1'!$C$8*AVERAGEIF($F$5:$F$1014,F864,$H$5:$H$1014)),"Excl",IF(B864&gt;='Work 1'!$C$5,"LTM","Prior"))</f>
        <v/>
      </c>
      <c r="L864">
        <f>I864-J864</f>
        <v/>
      </c>
    </row>
    <row r="865" ht="14.25" customHeight="1" s="54">
      <c r="A865" s="20" t="inlineStr">
        <is>
          <t>BH-40856</t>
        </is>
      </c>
      <c r="B865" s="21" t="n">
        <v>46082</v>
      </c>
      <c r="C865" s="20" t="inlineStr">
        <is>
          <t>C07</t>
        </is>
      </c>
      <c r="D865" s="20" t="inlineStr">
        <is>
          <t>Bramble Hill Online Store</t>
        </is>
      </c>
      <c r="E865" s="20" t="inlineStr">
        <is>
          <t>Online</t>
        </is>
      </c>
      <c r="F865" s="20" t="inlineStr">
        <is>
          <t>Snack Bars</t>
        </is>
      </c>
      <c r="G865" s="22" t="n">
        <v>2728</v>
      </c>
      <c r="H865" s="23" t="n">
        <v>39.3</v>
      </c>
      <c r="I865" s="23" t="n">
        <v>107210.4</v>
      </c>
      <c r="J865" s="23" t="n">
        <v>55787.6</v>
      </c>
      <c r="K865">
        <f>IF(OR(COUNTIF($A$5:A865,A865)&gt;1,G865&lt;0,C865="",B865&lt;'Work 1'!$C$6,B865&gt;'Work 1'!$C$7,H865&gt;'Work 1'!$C$8*AVERAGEIF($F$5:$F$1014,F865,$H$5:$H$1014)),"Excl",IF(B865&gt;='Work 1'!$C$5,"LTM","Prior"))</f>
        <v/>
      </c>
      <c r="L865">
        <f>I865-J865</f>
        <v/>
      </c>
    </row>
    <row r="866" ht="14.25" customHeight="1" s="54">
      <c r="A866" s="20" t="inlineStr">
        <is>
          <t>BH-40857</t>
        </is>
      </c>
      <c r="B866" s="21" t="n">
        <v>46082</v>
      </c>
      <c r="C866" s="20" t="inlineStr">
        <is>
          <t>C08</t>
        </is>
      </c>
      <c r="D866" s="20" t="inlineStr">
        <is>
          <t>Online Marketplace</t>
        </is>
      </c>
      <c r="E866" s="20" t="inlineStr">
        <is>
          <t>Online</t>
        </is>
      </c>
      <c r="F866" s="20" t="inlineStr">
        <is>
          <t>Granola</t>
        </is>
      </c>
      <c r="G866" s="22" t="n">
        <v>3990</v>
      </c>
      <c r="H866" s="23" t="n">
        <v>43.47</v>
      </c>
      <c r="I866" s="23" t="n">
        <v>173445.3</v>
      </c>
      <c r="J866" s="23" t="n">
        <v>107530.5</v>
      </c>
      <c r="K866">
        <f>IF(OR(COUNTIF($A$5:A866,A866)&gt;1,G866&lt;0,C866="",B866&lt;'Work 1'!$C$6,B866&gt;'Work 1'!$C$7,H866&gt;'Work 1'!$C$8*AVERAGEIF($F$5:$F$1014,F866,$H$5:$H$1014)),"Excl",IF(B866&gt;='Work 1'!$C$5,"LTM","Prior"))</f>
        <v/>
      </c>
      <c r="L866">
        <f>I866-J866</f>
        <v/>
      </c>
    </row>
    <row r="867" ht="14.25" customHeight="1" s="54">
      <c r="A867" s="20" t="inlineStr">
        <is>
          <t>BH-40858</t>
        </is>
      </c>
      <c r="B867" s="21" t="n">
        <v>46082</v>
      </c>
      <c r="C867" s="20" t="inlineStr">
        <is>
          <t>C08</t>
        </is>
      </c>
      <c r="D867" s="20" t="inlineStr">
        <is>
          <t>Online Marketplace</t>
        </is>
      </c>
      <c r="E867" s="20" t="inlineStr">
        <is>
          <t>Online</t>
        </is>
      </c>
      <c r="F867" s="20" t="inlineStr">
        <is>
          <t>Nut Butter</t>
        </is>
      </c>
      <c r="G867" s="22" t="n">
        <v>2125</v>
      </c>
      <c r="H867" s="23" t="n">
        <v>56.67</v>
      </c>
      <c r="I867" s="23" t="n">
        <v>120423.75</v>
      </c>
      <c r="J867" s="23" t="n">
        <v>83937.5</v>
      </c>
      <c r="K867">
        <f>IF(OR(COUNTIF($A$5:A867,A867)&gt;1,G867&lt;0,C867="",B867&lt;'Work 1'!$C$6,B867&gt;'Work 1'!$C$7,H867&gt;'Work 1'!$C$8*AVERAGEIF($F$5:$F$1014,F867,$H$5:$H$1014)),"Excl",IF(B867&gt;='Work 1'!$C$5,"LTM","Prior"))</f>
        <v/>
      </c>
      <c r="L867">
        <f>I867-J867</f>
        <v/>
      </c>
    </row>
    <row r="868" ht="14.25" customHeight="1" s="54">
      <c r="A868" s="20" t="inlineStr">
        <is>
          <t>BH-40859</t>
        </is>
      </c>
      <c r="B868" s="21" t="n">
        <v>46082</v>
      </c>
      <c r="C868" s="20" t="inlineStr">
        <is>
          <t>C08</t>
        </is>
      </c>
      <c r="D868" s="20" t="inlineStr">
        <is>
          <t>Online Marketplace</t>
        </is>
      </c>
      <c r="E868" s="20" t="inlineStr">
        <is>
          <t>Online</t>
        </is>
      </c>
      <c r="F868" s="20" t="inlineStr">
        <is>
          <t>Snack Bars</t>
        </is>
      </c>
      <c r="G868" s="22" t="n">
        <v>3463</v>
      </c>
      <c r="H868" s="23" t="n">
        <v>34.58</v>
      </c>
      <c r="I868" s="23" t="n">
        <v>119750.54</v>
      </c>
      <c r="J868" s="23" t="n">
        <v>70818.35000000001</v>
      </c>
      <c r="K868">
        <f>IF(OR(COUNTIF($A$5:A868,A868)&gt;1,G868&lt;0,C868="",B868&lt;'Work 1'!$C$6,B868&gt;'Work 1'!$C$7,H868&gt;'Work 1'!$C$8*AVERAGEIF($F$5:$F$1014,F868,$H$5:$H$1014)),"Excl",IF(B868&gt;='Work 1'!$C$5,"LTM","Prior"))</f>
        <v/>
      </c>
      <c r="L868">
        <f>I868-J868</f>
        <v/>
      </c>
    </row>
    <row r="869" ht="14.25" customHeight="1" s="54">
      <c r="A869" s="20" t="inlineStr">
        <is>
          <t>BH-40860</t>
        </is>
      </c>
      <c r="B869" s="21" t="n">
        <v>46082</v>
      </c>
      <c r="C869" s="20" t="inlineStr">
        <is>
          <t>C09</t>
        </is>
      </c>
      <c r="D869" s="20" t="inlineStr">
        <is>
          <t>Maple Ridge Grocers</t>
        </is>
      </c>
      <c r="E869" s="20" t="inlineStr">
        <is>
          <t>Grocery</t>
        </is>
      </c>
      <c r="F869" s="20" t="inlineStr">
        <is>
          <t>Granola</t>
        </is>
      </c>
      <c r="G869" s="22" t="n">
        <v>1642</v>
      </c>
      <c r="H869" s="23" t="n">
        <v>43.05</v>
      </c>
      <c r="I869" s="23" t="n">
        <v>70688.10000000001</v>
      </c>
      <c r="J869" s="23" t="n">
        <v>44251.9</v>
      </c>
      <c r="K869">
        <f>IF(OR(COUNTIF($A$5:A869,A869)&gt;1,G869&lt;0,C869="",B869&lt;'Work 1'!$C$6,B869&gt;'Work 1'!$C$7,H869&gt;'Work 1'!$C$8*AVERAGEIF($F$5:$F$1014,F869,$H$5:$H$1014)),"Excl",IF(B869&gt;='Work 1'!$C$5,"LTM","Prior"))</f>
        <v/>
      </c>
      <c r="L869">
        <f>I869-J869</f>
        <v/>
      </c>
    </row>
    <row r="870" ht="14.25" customHeight="1" s="54">
      <c r="A870" s="20" t="inlineStr">
        <is>
          <t>BH-40861</t>
        </is>
      </c>
      <c r="B870" s="21" t="n">
        <v>46082</v>
      </c>
      <c r="C870" s="20" t="inlineStr">
        <is>
          <t>C09</t>
        </is>
      </c>
      <c r="D870" s="20" t="inlineStr">
        <is>
          <t>Maple Ridge Grocers</t>
        </is>
      </c>
      <c r="E870" s="20" t="inlineStr">
        <is>
          <t>Grocery</t>
        </is>
      </c>
      <c r="F870" s="20" t="inlineStr">
        <is>
          <t>Snack Bars</t>
        </is>
      </c>
      <c r="G870" s="22" t="n">
        <v>1332</v>
      </c>
      <c r="H870" s="23" t="n">
        <v>33.35</v>
      </c>
      <c r="I870" s="23" t="n">
        <v>44422.2</v>
      </c>
      <c r="J870" s="23" t="n">
        <v>27239.4</v>
      </c>
      <c r="K870">
        <f>IF(OR(COUNTIF($A$5:A870,A870)&gt;1,G870&lt;0,C870="",B870&lt;'Work 1'!$C$6,B870&gt;'Work 1'!$C$7,H870&gt;'Work 1'!$C$8*AVERAGEIF($F$5:$F$1014,F870,$H$5:$H$1014)),"Excl",IF(B870&gt;='Work 1'!$C$5,"LTM","Prior"))</f>
        <v/>
      </c>
      <c r="L870">
        <f>I870-J870</f>
        <v/>
      </c>
    </row>
    <row r="871" ht="14.25" customHeight="1" s="54">
      <c r="A871" s="20" t="inlineStr">
        <is>
          <t>BH-40862</t>
        </is>
      </c>
      <c r="B871" s="21" t="n">
        <v>46082</v>
      </c>
      <c r="C871" s="20" t="inlineStr">
        <is>
          <t>C10</t>
        </is>
      </c>
      <c r="D871" s="20" t="inlineStr">
        <is>
          <t>Lakeshore Foods</t>
        </is>
      </c>
      <c r="E871" s="20" t="inlineStr">
        <is>
          <t>Grocery</t>
        </is>
      </c>
      <c r="F871" s="20" t="inlineStr">
        <is>
          <t>Granola</t>
        </is>
      </c>
      <c r="G871" s="22" t="n">
        <v>1357</v>
      </c>
      <c r="H871" s="23" t="n">
        <v>43.05</v>
      </c>
      <c r="I871" s="23" t="n">
        <v>58418.85</v>
      </c>
      <c r="J871" s="23" t="n">
        <v>36571.15</v>
      </c>
      <c r="K871">
        <f>IF(OR(COUNTIF($A$5:A871,A871)&gt;1,G871&lt;0,C871="",B871&lt;'Work 1'!$C$6,B871&gt;'Work 1'!$C$7,H871&gt;'Work 1'!$C$8*AVERAGEIF($F$5:$F$1014,F871,$H$5:$H$1014)),"Excl",IF(B871&gt;='Work 1'!$C$5,"LTM","Prior"))</f>
        <v/>
      </c>
      <c r="L871">
        <f>I871-J871</f>
        <v/>
      </c>
    </row>
    <row r="872" ht="14.25" customHeight="1" s="54">
      <c r="A872" s="20" t="inlineStr">
        <is>
          <t>BH-40863</t>
        </is>
      </c>
      <c r="B872" s="21" t="n">
        <v>46082</v>
      </c>
      <c r="C872" s="20" t="inlineStr">
        <is>
          <t>C10</t>
        </is>
      </c>
      <c r="D872" s="20" t="inlineStr">
        <is>
          <t>Lakeshore Foods</t>
        </is>
      </c>
      <c r="E872" s="20" t="inlineStr">
        <is>
          <t>Grocery</t>
        </is>
      </c>
      <c r="F872" s="20" t="inlineStr">
        <is>
          <t>Nut Butter</t>
        </is>
      </c>
      <c r="G872" s="22" t="n">
        <v>585</v>
      </c>
      <c r="H872" s="23" t="n">
        <v>57.25</v>
      </c>
      <c r="I872" s="23" t="n">
        <v>33491.25</v>
      </c>
      <c r="J872" s="23" t="n">
        <v>23107.5</v>
      </c>
      <c r="K872">
        <f>IF(OR(COUNTIF($A$5:A872,A872)&gt;1,G872&lt;0,C872="",B872&lt;'Work 1'!$C$6,B872&gt;'Work 1'!$C$7,H872&gt;'Work 1'!$C$8*AVERAGEIF($F$5:$F$1014,F872,$H$5:$H$1014)),"Excl",IF(B872&gt;='Work 1'!$C$5,"LTM","Prior"))</f>
        <v/>
      </c>
      <c r="L872">
        <f>I872-J872</f>
        <v/>
      </c>
    </row>
    <row r="873" ht="14.25" customHeight="1" s="54">
      <c r="A873" s="20" t="inlineStr">
        <is>
          <t>BH-40864</t>
        </is>
      </c>
      <c r="B873" s="21" t="n">
        <v>46082</v>
      </c>
      <c r="C873" s="20" t="inlineStr">
        <is>
          <t>C11</t>
        </is>
      </c>
      <c r="D873" s="20" t="inlineStr">
        <is>
          <t>Copper Valley Market</t>
        </is>
      </c>
      <c r="E873" s="20" t="inlineStr">
        <is>
          <t>Grocery</t>
        </is>
      </c>
      <c r="F873" s="20" t="inlineStr">
        <is>
          <t>Granola</t>
        </is>
      </c>
      <c r="G873" s="22" t="n">
        <v>1273</v>
      </c>
      <c r="H873" s="23" t="n">
        <v>43.05</v>
      </c>
      <c r="I873" s="23" t="n">
        <v>54802.65</v>
      </c>
      <c r="J873" s="23" t="n">
        <v>34307.35</v>
      </c>
      <c r="K873">
        <f>IF(OR(COUNTIF($A$5:A873,A873)&gt;1,G873&lt;0,C873="",B873&lt;'Work 1'!$C$6,B873&gt;'Work 1'!$C$7,H873&gt;'Work 1'!$C$8*AVERAGEIF($F$5:$F$1014,F873,$H$5:$H$1014)),"Excl",IF(B873&gt;='Work 1'!$C$5,"LTM","Prior"))</f>
        <v/>
      </c>
      <c r="L873">
        <f>I873-J873</f>
        <v/>
      </c>
    </row>
    <row r="874" ht="14.25" customHeight="1" s="54">
      <c r="A874" s="20" t="inlineStr">
        <is>
          <t>BH-40865</t>
        </is>
      </c>
      <c r="B874" s="21" t="n">
        <v>46082</v>
      </c>
      <c r="C874" s="20" t="inlineStr">
        <is>
          <t>C11</t>
        </is>
      </c>
      <c r="D874" s="20" t="inlineStr">
        <is>
          <t>Copper Valley Market</t>
        </is>
      </c>
      <c r="E874" s="20" t="inlineStr">
        <is>
          <t>Grocery</t>
        </is>
      </c>
      <c r="F874" s="20" t="inlineStr">
        <is>
          <t>Snack Bars</t>
        </is>
      </c>
      <c r="G874" s="22" t="n">
        <v>1411</v>
      </c>
      <c r="H874" s="23" t="n">
        <v>33.35</v>
      </c>
      <c r="I874" s="23" t="n">
        <v>47056.85</v>
      </c>
      <c r="J874" s="23" t="n">
        <v>28854.95</v>
      </c>
      <c r="K874">
        <f>IF(OR(COUNTIF($A$5:A874,A874)&gt;1,G874&lt;0,C874="",B874&lt;'Work 1'!$C$6,B874&gt;'Work 1'!$C$7,H874&gt;'Work 1'!$C$8*AVERAGEIF($F$5:$F$1014,F874,$H$5:$H$1014)),"Excl",IF(B874&gt;='Work 1'!$C$5,"LTM","Prior"))</f>
        <v/>
      </c>
      <c r="L874">
        <f>I874-J874</f>
        <v/>
      </c>
    </row>
    <row r="875" ht="14.25" customHeight="1" s="54">
      <c r="A875" s="20" t="inlineStr">
        <is>
          <t>BH-40866</t>
        </is>
      </c>
      <c r="B875" s="21" t="n">
        <v>46082</v>
      </c>
      <c r="C875" s="20" t="inlineStr">
        <is>
          <t>C12</t>
        </is>
      </c>
      <c r="D875" s="20" t="inlineStr">
        <is>
          <t>Riverbend Grocery</t>
        </is>
      </c>
      <c r="E875" s="20" t="inlineStr">
        <is>
          <t>Grocery</t>
        </is>
      </c>
      <c r="F875" s="20" t="inlineStr">
        <is>
          <t>Granola</t>
        </is>
      </c>
      <c r="G875" s="22" t="n">
        <v>1819</v>
      </c>
      <c r="H875" s="23" t="n">
        <v>43.05</v>
      </c>
      <c r="I875" s="23" t="n">
        <v>78307.95</v>
      </c>
      <c r="J875" s="23" t="n">
        <v>49022.05</v>
      </c>
      <c r="K875">
        <f>IF(OR(COUNTIF($A$5:A875,A875)&gt;1,G875&lt;0,C875="",B875&lt;'Work 1'!$C$6,B875&gt;'Work 1'!$C$7,H875&gt;'Work 1'!$C$8*AVERAGEIF($F$5:$F$1014,F875,$H$5:$H$1014)),"Excl",IF(B875&gt;='Work 1'!$C$5,"LTM","Prior"))</f>
        <v/>
      </c>
      <c r="L875">
        <f>I875-J875</f>
        <v/>
      </c>
    </row>
    <row r="876" ht="14.25" customHeight="1" s="54">
      <c r="A876" s="20" t="inlineStr">
        <is>
          <t>BH-40867</t>
        </is>
      </c>
      <c r="B876" s="21" t="n">
        <v>46082</v>
      </c>
      <c r="C876" s="20" t="inlineStr">
        <is>
          <t>C12</t>
        </is>
      </c>
      <c r="D876" s="20" t="inlineStr">
        <is>
          <t>Riverbend Grocery</t>
        </is>
      </c>
      <c r="E876" s="20" t="inlineStr">
        <is>
          <t>Grocery</t>
        </is>
      </c>
      <c r="F876" s="20" t="inlineStr">
        <is>
          <t>Nut Butter</t>
        </is>
      </c>
      <c r="G876" s="22" t="n">
        <v>785</v>
      </c>
      <c r="H876" s="23" t="n">
        <v>57.25</v>
      </c>
      <c r="I876" s="23" t="n">
        <v>44941.25</v>
      </c>
      <c r="J876" s="23" t="n">
        <v>31007.5</v>
      </c>
      <c r="K876">
        <f>IF(OR(COUNTIF($A$5:A876,A876)&gt;1,G876&lt;0,C876="",B876&lt;'Work 1'!$C$6,B876&gt;'Work 1'!$C$7,H876&gt;'Work 1'!$C$8*AVERAGEIF($F$5:$F$1014,F876,$H$5:$H$1014)),"Excl",IF(B876&gt;='Work 1'!$C$5,"LTM","Prior"))</f>
        <v/>
      </c>
      <c r="L876">
        <f>I876-J876</f>
        <v/>
      </c>
    </row>
    <row r="877" ht="14.25" customHeight="1" s="54">
      <c r="A877" s="20" t="inlineStr">
        <is>
          <t>BH-40868</t>
        </is>
      </c>
      <c r="B877" s="21" t="n">
        <v>46082</v>
      </c>
      <c r="C877" s="20" t="inlineStr">
        <is>
          <t>C13</t>
        </is>
      </c>
      <c r="D877" s="20" t="inlineStr">
        <is>
          <t>Sunfield Markets</t>
        </is>
      </c>
      <c r="E877" s="20" t="inlineStr">
        <is>
          <t>Grocery</t>
        </is>
      </c>
      <c r="F877" s="20" t="inlineStr">
        <is>
          <t>Granola</t>
        </is>
      </c>
      <c r="G877" s="22" t="n">
        <v>1110</v>
      </c>
      <c r="H877" s="23" t="n">
        <v>43.05</v>
      </c>
      <c r="I877" s="23" t="n">
        <v>47785.5</v>
      </c>
      <c r="J877" s="23" t="n">
        <v>29914.5</v>
      </c>
      <c r="K877">
        <f>IF(OR(COUNTIF($A$5:A877,A877)&gt;1,G877&lt;0,C877="",B877&lt;'Work 1'!$C$6,B877&gt;'Work 1'!$C$7,H877&gt;'Work 1'!$C$8*AVERAGEIF($F$5:$F$1014,F877,$H$5:$H$1014)),"Excl",IF(B877&gt;='Work 1'!$C$5,"LTM","Prior"))</f>
        <v/>
      </c>
      <c r="L877">
        <f>I877-J877</f>
        <v/>
      </c>
    </row>
    <row r="878" ht="14.25" customHeight="1" s="54">
      <c r="A878" s="20" t="inlineStr">
        <is>
          <t>BH-40869</t>
        </is>
      </c>
      <c r="B878" s="21" t="n">
        <v>46082</v>
      </c>
      <c r="C878" s="20" t="inlineStr">
        <is>
          <t>C13</t>
        </is>
      </c>
      <c r="D878" s="20" t="inlineStr">
        <is>
          <t>Sunfield Markets</t>
        </is>
      </c>
      <c r="E878" s="20" t="inlineStr">
        <is>
          <t>Grocery</t>
        </is>
      </c>
      <c r="F878" s="20" t="inlineStr">
        <is>
          <t>Snack Bars</t>
        </is>
      </c>
      <c r="G878" s="22" t="n">
        <v>1109</v>
      </c>
      <c r="H878" s="23" t="n">
        <v>33.35</v>
      </c>
      <c r="I878" s="23" t="n">
        <v>36985.15</v>
      </c>
      <c r="J878" s="23" t="n">
        <v>22679.05</v>
      </c>
      <c r="K878">
        <f>IF(OR(COUNTIF($A$5:A878,A878)&gt;1,G878&lt;0,C878="",B878&lt;'Work 1'!$C$6,B878&gt;'Work 1'!$C$7,H878&gt;'Work 1'!$C$8*AVERAGEIF($F$5:$F$1014,F878,$H$5:$H$1014)),"Excl",IF(B878&gt;='Work 1'!$C$5,"LTM","Prior"))</f>
        <v/>
      </c>
      <c r="L878">
        <f>I878-J878</f>
        <v/>
      </c>
    </row>
    <row r="879" ht="14.25" customHeight="1" s="54">
      <c r="A879" s="20" t="inlineStr">
        <is>
          <t>BH-40870</t>
        </is>
      </c>
      <c r="B879" s="21" t="n">
        <v>46082</v>
      </c>
      <c r="C879" s="20" t="inlineStr">
        <is>
          <t>C14</t>
        </is>
      </c>
      <c r="D879" s="20" t="inlineStr">
        <is>
          <t>Oak Hollow Foods</t>
        </is>
      </c>
      <c r="E879" s="20" t="inlineStr">
        <is>
          <t>Grocery</t>
        </is>
      </c>
      <c r="F879" s="20" t="inlineStr">
        <is>
          <t>Granola</t>
        </is>
      </c>
      <c r="G879" s="22" t="n">
        <v>1111</v>
      </c>
      <c r="H879" s="23" t="n">
        <v>43.05</v>
      </c>
      <c r="I879" s="23" t="n">
        <v>47828.55</v>
      </c>
      <c r="J879" s="23" t="n">
        <v>29941.45</v>
      </c>
      <c r="K879">
        <f>IF(OR(COUNTIF($A$5:A879,A879)&gt;1,G879&lt;0,C879="",B879&lt;'Work 1'!$C$6,B879&gt;'Work 1'!$C$7,H879&gt;'Work 1'!$C$8*AVERAGEIF($F$5:$F$1014,F879,$H$5:$H$1014)),"Excl",IF(B879&gt;='Work 1'!$C$5,"LTM","Prior"))</f>
        <v/>
      </c>
      <c r="L879">
        <f>I879-J879</f>
        <v/>
      </c>
    </row>
    <row r="880" ht="14.25" customHeight="1" s="54">
      <c r="A880" s="20" t="inlineStr">
        <is>
          <t>BH-40871</t>
        </is>
      </c>
      <c r="B880" s="21" t="n">
        <v>46082</v>
      </c>
      <c r="C880" s="20" t="inlineStr">
        <is>
          <t>C14</t>
        </is>
      </c>
      <c r="D880" s="20" t="inlineStr">
        <is>
          <t>Oak Hollow Foods</t>
        </is>
      </c>
      <c r="E880" s="20" t="inlineStr">
        <is>
          <t>Grocery</t>
        </is>
      </c>
      <c r="F880" s="20" t="inlineStr">
        <is>
          <t>Nut Butter</t>
        </is>
      </c>
      <c r="G880" s="22" t="n">
        <v>426</v>
      </c>
      <c r="H880" s="23" t="n">
        <v>57.25</v>
      </c>
      <c r="I880" s="23" t="n">
        <v>24388.5</v>
      </c>
      <c r="J880" s="23" t="n">
        <v>16827</v>
      </c>
      <c r="K880">
        <f>IF(OR(COUNTIF($A$5:A880,A880)&gt;1,G880&lt;0,C880="",B880&lt;'Work 1'!$C$6,B880&gt;'Work 1'!$C$7,H880&gt;'Work 1'!$C$8*AVERAGEIF($F$5:$F$1014,F880,$H$5:$H$1014)),"Excl",IF(B880&gt;='Work 1'!$C$5,"LTM","Prior"))</f>
        <v/>
      </c>
      <c r="L880">
        <f>I880-J880</f>
        <v/>
      </c>
    </row>
    <row r="881" ht="14.25" customHeight="1" s="54">
      <c r="A881" s="20" t="inlineStr">
        <is>
          <t>BH-40872</t>
        </is>
      </c>
      <c r="B881" s="21" t="n">
        <v>46082</v>
      </c>
      <c r="C881" s="20" t="inlineStr">
        <is>
          <t>C14</t>
        </is>
      </c>
      <c r="D881" s="20" t="inlineStr">
        <is>
          <t>Oak Hollow Foods</t>
        </is>
      </c>
      <c r="E881" s="20" t="inlineStr">
        <is>
          <t>Grocery</t>
        </is>
      </c>
      <c r="F881" s="20" t="inlineStr">
        <is>
          <t>Snack Bars</t>
        </is>
      </c>
      <c r="G881" s="22" t="n">
        <v>717</v>
      </c>
      <c r="H881" s="23" t="n">
        <v>33.35</v>
      </c>
      <c r="I881" s="23" t="n">
        <v>23911.95</v>
      </c>
      <c r="J881" s="23" t="n">
        <v>14662.65</v>
      </c>
      <c r="K881">
        <f>IF(OR(COUNTIF($A$5:A881,A881)&gt;1,G881&lt;0,C881="",B881&lt;'Work 1'!$C$6,B881&gt;'Work 1'!$C$7,H881&gt;'Work 1'!$C$8*AVERAGEIF($F$5:$F$1014,F881,$H$5:$H$1014)),"Excl",IF(B881&gt;='Work 1'!$C$5,"LTM","Prior"))</f>
        <v/>
      </c>
      <c r="L881">
        <f>I881-J881</f>
        <v/>
      </c>
    </row>
    <row r="882" ht="14.25" customHeight="1" s="54">
      <c r="A882" s="20" t="inlineStr">
        <is>
          <t>BH-40873</t>
        </is>
      </c>
      <c r="B882" s="21" t="n">
        <v>46082</v>
      </c>
      <c r="C882" s="20" t="inlineStr">
        <is>
          <t>C15</t>
        </is>
      </c>
      <c r="D882" s="20" t="inlineStr">
        <is>
          <t>Prairie Fresh</t>
        </is>
      </c>
      <c r="E882" s="20" t="inlineStr">
        <is>
          <t>Grocery</t>
        </is>
      </c>
      <c r="F882" s="20" t="inlineStr">
        <is>
          <t>Granola</t>
        </is>
      </c>
      <c r="G882" s="22" t="n">
        <v>1373</v>
      </c>
      <c r="H882" s="23" t="n">
        <v>43.05</v>
      </c>
      <c r="I882" s="23" t="n">
        <v>59107.65</v>
      </c>
      <c r="J882" s="23" t="n">
        <v>37002.35</v>
      </c>
      <c r="K882">
        <f>IF(OR(COUNTIF($A$5:A882,A882)&gt;1,G882&lt;0,C882="",B882&lt;'Work 1'!$C$6,B882&gt;'Work 1'!$C$7,H882&gt;'Work 1'!$C$8*AVERAGEIF($F$5:$F$1014,F882,$H$5:$H$1014)),"Excl",IF(B882&gt;='Work 1'!$C$5,"LTM","Prior"))</f>
        <v/>
      </c>
      <c r="L882">
        <f>I882-J882</f>
        <v/>
      </c>
    </row>
    <row r="883" ht="14.25" customHeight="1" s="54">
      <c r="A883" s="20" t="inlineStr">
        <is>
          <t>BH-40874</t>
        </is>
      </c>
      <c r="B883" s="21" t="n">
        <v>46082</v>
      </c>
      <c r="C883" s="20" t="inlineStr">
        <is>
          <t>C15</t>
        </is>
      </c>
      <c r="D883" s="20" t="inlineStr">
        <is>
          <t>Prairie Fresh</t>
        </is>
      </c>
      <c r="E883" s="20" t="inlineStr">
        <is>
          <t>Grocery</t>
        </is>
      </c>
      <c r="F883" s="20" t="inlineStr">
        <is>
          <t>Snack Bars</t>
        </is>
      </c>
      <c r="G883" s="22" t="n">
        <v>1090</v>
      </c>
      <c r="H883" s="23" t="n">
        <v>33.35</v>
      </c>
      <c r="I883" s="23" t="n">
        <v>36351.5</v>
      </c>
      <c r="J883" s="23" t="n">
        <v>22290.5</v>
      </c>
      <c r="K883">
        <f>IF(OR(COUNTIF($A$5:A883,A883)&gt;1,G883&lt;0,C883="",B883&lt;'Work 1'!$C$6,B883&gt;'Work 1'!$C$7,H883&gt;'Work 1'!$C$8*AVERAGEIF($F$5:$F$1014,F883,$H$5:$H$1014)),"Excl",IF(B883&gt;='Work 1'!$C$5,"LTM","Prior"))</f>
        <v/>
      </c>
      <c r="L883">
        <f>I883-J883</f>
        <v/>
      </c>
    </row>
    <row r="884" ht="14.25" customHeight="1" s="54">
      <c r="A884" s="20" t="inlineStr">
        <is>
          <t>BH-40875</t>
        </is>
      </c>
      <c r="B884" s="21" t="n">
        <v>46082</v>
      </c>
      <c r="C884" s="20" t="inlineStr">
        <is>
          <t>C16</t>
        </is>
      </c>
      <c r="D884" s="20" t="inlineStr">
        <is>
          <t>Bay Street Market</t>
        </is>
      </c>
      <c r="E884" s="20" t="inlineStr">
        <is>
          <t>Grocery</t>
        </is>
      </c>
      <c r="F884" s="20" t="inlineStr">
        <is>
          <t>Granola</t>
        </is>
      </c>
      <c r="G884" s="22" t="n">
        <v>1060</v>
      </c>
      <c r="H884" s="23" t="n">
        <v>43.05</v>
      </c>
      <c r="I884" s="23" t="n">
        <v>45633</v>
      </c>
      <c r="J884" s="23" t="n">
        <v>28567</v>
      </c>
      <c r="K884">
        <f>IF(OR(COUNTIF($A$5:A884,A884)&gt;1,G884&lt;0,C884="",B884&lt;'Work 1'!$C$6,B884&gt;'Work 1'!$C$7,H884&gt;'Work 1'!$C$8*AVERAGEIF($F$5:$F$1014,F884,$H$5:$H$1014)),"Excl",IF(B884&gt;='Work 1'!$C$5,"LTM","Prior"))</f>
        <v/>
      </c>
      <c r="L884">
        <f>I884-J884</f>
        <v/>
      </c>
    </row>
    <row r="885" ht="14.25" customHeight="1" s="54">
      <c r="A885" s="20" t="inlineStr">
        <is>
          <t>BH-40876</t>
        </is>
      </c>
      <c r="B885" s="21" t="n">
        <v>46082</v>
      </c>
      <c r="C885" s="20" t="inlineStr">
        <is>
          <t>C16</t>
        </is>
      </c>
      <c r="D885" s="20" t="inlineStr">
        <is>
          <t>Bay Street Market</t>
        </is>
      </c>
      <c r="E885" s="20" t="inlineStr">
        <is>
          <t>Grocery</t>
        </is>
      </c>
      <c r="F885" s="20" t="inlineStr">
        <is>
          <t>Nut Butter</t>
        </is>
      </c>
      <c r="G885" s="22" t="n">
        <v>644</v>
      </c>
      <c r="H885" s="23" t="n">
        <v>57.25</v>
      </c>
      <c r="I885" s="23" t="n">
        <v>36869</v>
      </c>
      <c r="J885" s="23" t="n">
        <v>25438</v>
      </c>
      <c r="K885">
        <f>IF(OR(COUNTIF($A$5:A885,A885)&gt;1,G885&lt;0,C885="",B885&lt;'Work 1'!$C$6,B885&gt;'Work 1'!$C$7,H885&gt;'Work 1'!$C$8*AVERAGEIF($F$5:$F$1014,F885,$H$5:$H$1014)),"Excl",IF(B885&gt;='Work 1'!$C$5,"LTM","Prior"))</f>
        <v/>
      </c>
      <c r="L885">
        <f>I885-J885</f>
        <v/>
      </c>
    </row>
    <row r="886" ht="14.25" customHeight="1" s="54">
      <c r="A886" s="20" t="inlineStr">
        <is>
          <t>BH-40877</t>
        </is>
      </c>
      <c r="B886" s="21" t="n">
        <v>46082</v>
      </c>
      <c r="C886" s="20" t="inlineStr">
        <is>
          <t>C19</t>
        </is>
      </c>
      <c r="D886" s="20" t="inlineStr">
        <is>
          <t>Greenway Markets</t>
        </is>
      </c>
      <c r="E886" s="20" t="inlineStr">
        <is>
          <t>Grocery</t>
        </is>
      </c>
      <c r="F886" s="20" t="inlineStr">
        <is>
          <t>Granola</t>
        </is>
      </c>
      <c r="G886" s="22" t="n">
        <v>1655</v>
      </c>
      <c r="H886" s="23" t="n">
        <v>43.05</v>
      </c>
      <c r="I886" s="23" t="n">
        <v>71247.75</v>
      </c>
      <c r="J886" s="23" t="n">
        <v>44602.25</v>
      </c>
      <c r="K886">
        <f>IF(OR(COUNTIF($A$5:A886,A886)&gt;1,G886&lt;0,C886="",B886&lt;'Work 1'!$C$6,B886&gt;'Work 1'!$C$7,H886&gt;'Work 1'!$C$8*AVERAGEIF($F$5:$F$1014,F886,$H$5:$H$1014)),"Excl",IF(B886&gt;='Work 1'!$C$5,"LTM","Prior"))</f>
        <v/>
      </c>
      <c r="L886">
        <f>I886-J886</f>
        <v/>
      </c>
    </row>
    <row r="887" ht="14.25" customHeight="1" s="54">
      <c r="A887" s="20" t="inlineStr">
        <is>
          <t>BH-40878</t>
        </is>
      </c>
      <c r="B887" s="21" t="n">
        <v>46082</v>
      </c>
      <c r="C887" s="20" t="inlineStr">
        <is>
          <t>C19</t>
        </is>
      </c>
      <c r="D887" s="20" t="inlineStr">
        <is>
          <t>Greenway Markets</t>
        </is>
      </c>
      <c r="E887" s="20" t="inlineStr">
        <is>
          <t>Grocery</t>
        </is>
      </c>
      <c r="F887" s="20" t="inlineStr">
        <is>
          <t>Nut Butter</t>
        </is>
      </c>
      <c r="G887" s="22" t="n">
        <v>732</v>
      </c>
      <c r="H887" s="23" t="n">
        <v>57.25</v>
      </c>
      <c r="I887" s="23" t="n">
        <v>41907</v>
      </c>
      <c r="J887" s="23" t="n">
        <v>28914</v>
      </c>
      <c r="K887">
        <f>IF(OR(COUNTIF($A$5:A887,A887)&gt;1,G887&lt;0,C887="",B887&lt;'Work 1'!$C$6,B887&gt;'Work 1'!$C$7,H887&gt;'Work 1'!$C$8*AVERAGEIF($F$5:$F$1014,F887,$H$5:$H$1014)),"Excl",IF(B887&gt;='Work 1'!$C$5,"LTM","Prior"))</f>
        <v/>
      </c>
      <c r="L887">
        <f>I887-J887</f>
        <v/>
      </c>
    </row>
    <row r="888" ht="14.25" customHeight="1" s="54">
      <c r="A888" s="20" t="inlineStr">
        <is>
          <t>BH-40879</t>
        </is>
      </c>
      <c r="B888" s="21" t="n">
        <v>46082</v>
      </c>
      <c r="C888" s="20" t="inlineStr">
        <is>
          <t>C19</t>
        </is>
      </c>
      <c r="D888" s="20" t="inlineStr">
        <is>
          <t>Greenway Markets</t>
        </is>
      </c>
      <c r="E888" s="20" t="inlineStr">
        <is>
          <t>Grocery</t>
        </is>
      </c>
      <c r="F888" s="20" t="inlineStr">
        <is>
          <t>Snack Bars</t>
        </is>
      </c>
      <c r="G888" s="22" t="n">
        <v>752</v>
      </c>
      <c r="H888" s="23" t="n">
        <v>33.35</v>
      </c>
      <c r="I888" s="23" t="n">
        <v>25079.2</v>
      </c>
      <c r="J888" s="23" t="n">
        <v>15378.4</v>
      </c>
      <c r="K888">
        <f>IF(OR(COUNTIF($A$5:A888,A888)&gt;1,G888&lt;0,C888="",B888&lt;'Work 1'!$C$6,B888&gt;'Work 1'!$C$7,H888&gt;'Work 1'!$C$8*AVERAGEIF($F$5:$F$1014,F888,$H$5:$H$1014)),"Excl",IF(B888&gt;='Work 1'!$C$5,"LTM","Prior"))</f>
        <v/>
      </c>
      <c r="L888">
        <f>I888-J888</f>
        <v/>
      </c>
    </row>
    <row r="889" ht="14.25" customHeight="1" s="54">
      <c r="A889" s="20" t="inlineStr">
        <is>
          <t>BH-40880</t>
        </is>
      </c>
      <c r="B889" s="21" t="n">
        <v>46113</v>
      </c>
      <c r="C889" s="20" t="inlineStr">
        <is>
          <t>C01</t>
        </is>
      </c>
      <c r="D889" s="20" t="inlineStr">
        <is>
          <t>Northfield Markets</t>
        </is>
      </c>
      <c r="E889" s="20" t="inlineStr">
        <is>
          <t>Grocery</t>
        </is>
      </c>
      <c r="F889" s="20" t="inlineStr">
        <is>
          <t>Granola</t>
        </is>
      </c>
      <c r="G889" s="22" t="n">
        <v>16076</v>
      </c>
      <c r="H889" s="23" t="n">
        <v>39.61</v>
      </c>
      <c r="I889" s="23" t="n">
        <v>636770.36</v>
      </c>
      <c r="J889" s="23" t="n">
        <v>433248.2</v>
      </c>
      <c r="K889">
        <f>IF(OR(COUNTIF($A$5:A889,A889)&gt;1,G889&lt;0,C889="",B889&lt;'Work 1'!$C$6,B889&gt;'Work 1'!$C$7,H889&gt;'Work 1'!$C$8*AVERAGEIF($F$5:$F$1014,F889,$H$5:$H$1014)),"Excl",IF(B889&gt;='Work 1'!$C$5,"LTM","Prior"))</f>
        <v/>
      </c>
      <c r="L889">
        <f>I889-J889</f>
        <v/>
      </c>
    </row>
    <row r="890" ht="14.25" customHeight="1" s="54">
      <c r="A890" s="20" t="inlineStr">
        <is>
          <t>BH-40881</t>
        </is>
      </c>
      <c r="B890" s="21" t="n">
        <v>46113</v>
      </c>
      <c r="C890" s="20" t="inlineStr">
        <is>
          <t>C01</t>
        </is>
      </c>
      <c r="D890" s="20" t="inlineStr">
        <is>
          <t>Northfield Markets</t>
        </is>
      </c>
      <c r="E890" s="20" t="inlineStr">
        <is>
          <t>Grocery</t>
        </is>
      </c>
      <c r="F890" s="20" t="inlineStr">
        <is>
          <t>Nut Butter</t>
        </is>
      </c>
      <c r="G890" s="22" t="n">
        <v>8293</v>
      </c>
      <c r="H890" s="23" t="n">
        <v>52.67</v>
      </c>
      <c r="I890" s="23" t="n">
        <v>436792.31</v>
      </c>
      <c r="J890" s="23" t="n">
        <v>327573.5</v>
      </c>
      <c r="K890">
        <f>IF(OR(COUNTIF($A$5:A890,A890)&gt;1,G890&lt;0,C890="",B890&lt;'Work 1'!$C$6,B890&gt;'Work 1'!$C$7,H890&gt;'Work 1'!$C$8*AVERAGEIF($F$5:$F$1014,F890,$H$5:$H$1014)),"Excl",IF(B890&gt;='Work 1'!$C$5,"LTM","Prior"))</f>
        <v/>
      </c>
      <c r="L890">
        <f>I890-J890</f>
        <v/>
      </c>
    </row>
    <row r="891" ht="14.25" customHeight="1" s="54">
      <c r="A891" s="20" t="inlineStr">
        <is>
          <t>BH-40882</t>
        </is>
      </c>
      <c r="B891" s="21" t="n">
        <v>46113</v>
      </c>
      <c r="C891" s="20" t="inlineStr">
        <is>
          <t>C01</t>
        </is>
      </c>
      <c r="D891" s="20" t="inlineStr">
        <is>
          <t>Northfield Markets</t>
        </is>
      </c>
      <c r="E891" s="20" t="inlineStr">
        <is>
          <t>Grocery</t>
        </is>
      </c>
      <c r="F891" s="20" t="inlineStr">
        <is>
          <t>Snack Bars</t>
        </is>
      </c>
      <c r="G891" s="22" t="n">
        <v>11456</v>
      </c>
      <c r="H891" s="23" t="n">
        <v>30.68</v>
      </c>
      <c r="I891" s="23" t="n">
        <v>351470.08</v>
      </c>
      <c r="J891" s="23" t="n">
        <v>234275.2</v>
      </c>
      <c r="K891">
        <f>IF(OR(COUNTIF($A$5:A891,A891)&gt;1,G891&lt;0,C891="",B891&lt;'Work 1'!$C$6,B891&gt;'Work 1'!$C$7,H891&gt;'Work 1'!$C$8*AVERAGEIF($F$5:$F$1014,F891,$H$5:$H$1014)),"Excl",IF(B891&gt;='Work 1'!$C$5,"LTM","Prior"))</f>
        <v/>
      </c>
      <c r="L891">
        <f>I891-J891</f>
        <v/>
      </c>
    </row>
    <row r="892" ht="14.25" customHeight="1" s="54">
      <c r="A892" s="20" t="inlineStr">
        <is>
          <t>BH-40883</t>
        </is>
      </c>
      <c r="B892" s="21" t="n">
        <v>46113</v>
      </c>
      <c r="C892" s="20" t="inlineStr">
        <is>
          <t>C02</t>
        </is>
      </c>
      <c r="D892" s="20" t="inlineStr">
        <is>
          <t>Crestline Grocers</t>
        </is>
      </c>
      <c r="E892" s="20" t="inlineStr">
        <is>
          <t>Grocery</t>
        </is>
      </c>
      <c r="F892" s="20" t="inlineStr">
        <is>
          <t>Granola</t>
        </is>
      </c>
      <c r="G892" s="22" t="n">
        <v>3801</v>
      </c>
      <c r="H892" s="23" t="n">
        <v>41.76</v>
      </c>
      <c r="I892" s="23" t="n">
        <v>158729.76</v>
      </c>
      <c r="J892" s="23" t="n">
        <v>102436.95</v>
      </c>
      <c r="K892">
        <f>IF(OR(COUNTIF($A$5:A892,A892)&gt;1,G892&lt;0,C892="",B892&lt;'Work 1'!$C$6,B892&gt;'Work 1'!$C$7,H892&gt;'Work 1'!$C$8*AVERAGEIF($F$5:$F$1014,F892,$H$5:$H$1014)),"Excl",IF(B892&gt;='Work 1'!$C$5,"LTM","Prior"))</f>
        <v/>
      </c>
      <c r="L892">
        <f>I892-J892</f>
        <v/>
      </c>
    </row>
    <row r="893" ht="14.25" customHeight="1" s="54">
      <c r="A893" s="20" t="inlineStr">
        <is>
          <t>BH-40884</t>
        </is>
      </c>
      <c r="B893" s="21" t="n">
        <v>46113</v>
      </c>
      <c r="C893" s="20" t="inlineStr">
        <is>
          <t>C02</t>
        </is>
      </c>
      <c r="D893" s="20" t="inlineStr">
        <is>
          <t>Crestline Grocers</t>
        </is>
      </c>
      <c r="E893" s="20" t="inlineStr">
        <is>
          <t>Grocery</t>
        </is>
      </c>
      <c r="F893" s="20" t="inlineStr">
        <is>
          <t>Nut Butter</t>
        </is>
      </c>
      <c r="G893" s="22" t="n">
        <v>2018</v>
      </c>
      <c r="H893" s="23" t="n">
        <v>55.53</v>
      </c>
      <c r="I893" s="23" t="n">
        <v>112059.54</v>
      </c>
      <c r="J893" s="23" t="n">
        <v>79711</v>
      </c>
      <c r="K893">
        <f>IF(OR(COUNTIF($A$5:A893,A893)&gt;1,G893&lt;0,C893="",B893&lt;'Work 1'!$C$6,B893&gt;'Work 1'!$C$7,H893&gt;'Work 1'!$C$8*AVERAGEIF($F$5:$F$1014,F893,$H$5:$H$1014)),"Excl",IF(B893&gt;='Work 1'!$C$5,"LTM","Prior"))</f>
        <v/>
      </c>
      <c r="L893">
        <f>I893-J893</f>
        <v/>
      </c>
    </row>
    <row r="894" ht="14.25" customHeight="1" s="54">
      <c r="A894" s="20" t="inlineStr">
        <is>
          <t>BH-40885</t>
        </is>
      </c>
      <c r="B894" s="21" t="n">
        <v>46113</v>
      </c>
      <c r="C894" s="20" t="inlineStr">
        <is>
          <t>C02</t>
        </is>
      </c>
      <c r="D894" s="20" t="inlineStr">
        <is>
          <t>Crestline Grocers</t>
        </is>
      </c>
      <c r="E894" s="20" t="inlineStr">
        <is>
          <t>Grocery</t>
        </is>
      </c>
      <c r="F894" s="20" t="inlineStr">
        <is>
          <t>Snack Bars</t>
        </is>
      </c>
      <c r="G894" s="22" t="n">
        <v>3580</v>
      </c>
      <c r="H894" s="23" t="n">
        <v>32.35</v>
      </c>
      <c r="I894" s="23" t="n">
        <v>115813</v>
      </c>
      <c r="J894" s="23" t="n">
        <v>73211</v>
      </c>
      <c r="K894">
        <f>IF(OR(COUNTIF($A$5:A894,A894)&gt;1,G894&lt;0,C894="",B894&lt;'Work 1'!$C$6,B894&gt;'Work 1'!$C$7,H894&gt;'Work 1'!$C$8*AVERAGEIF($F$5:$F$1014,F894,$H$5:$H$1014)),"Excl",IF(B894&gt;='Work 1'!$C$5,"LTM","Prior"))</f>
        <v/>
      </c>
      <c r="L894">
        <f>I894-J894</f>
        <v/>
      </c>
    </row>
    <row r="895" ht="14.25" customHeight="1" s="54">
      <c r="A895" s="20" t="inlineStr">
        <is>
          <t>BH-40886</t>
        </is>
      </c>
      <c r="B895" s="21" t="n">
        <v>46113</v>
      </c>
      <c r="C895" s="20" t="inlineStr">
        <is>
          <t>C03</t>
        </is>
      </c>
      <c r="D895" s="20" t="inlineStr">
        <is>
          <t>ValuClub Warehouse</t>
        </is>
      </c>
      <c r="E895" s="20" t="inlineStr">
        <is>
          <t>Club</t>
        </is>
      </c>
      <c r="F895" s="20" t="inlineStr">
        <is>
          <t>Granola</t>
        </is>
      </c>
      <c r="G895" s="22" t="n">
        <v>13642</v>
      </c>
      <c r="H895" s="23" t="n">
        <v>36.6</v>
      </c>
      <c r="I895" s="23" t="n">
        <v>499297.2</v>
      </c>
      <c r="J895" s="23" t="n">
        <v>367651.9</v>
      </c>
      <c r="K895">
        <f>IF(OR(COUNTIF($A$5:A895,A895)&gt;1,G895&lt;0,C895="",B895&lt;'Work 1'!$C$6,B895&gt;'Work 1'!$C$7,H895&gt;'Work 1'!$C$8*AVERAGEIF($F$5:$F$1014,F895,$H$5:$H$1014)),"Excl",IF(B895&gt;='Work 1'!$C$5,"LTM","Prior"))</f>
        <v/>
      </c>
      <c r="L895">
        <f>I895-J895</f>
        <v/>
      </c>
    </row>
    <row r="896" ht="14.25" customHeight="1" s="54">
      <c r="A896" s="20" t="inlineStr">
        <is>
          <t>BH-40887</t>
        </is>
      </c>
      <c r="B896" s="21" t="n">
        <v>46113</v>
      </c>
      <c r="C896" s="20" t="inlineStr">
        <is>
          <t>C03</t>
        </is>
      </c>
      <c r="D896" s="20" t="inlineStr">
        <is>
          <t>ValuClub Warehouse</t>
        </is>
      </c>
      <c r="E896" s="20" t="inlineStr">
        <is>
          <t>Club</t>
        </is>
      </c>
      <c r="F896" s="20" t="inlineStr">
        <is>
          <t>Snack Bars</t>
        </is>
      </c>
      <c r="G896" s="22" t="n">
        <v>14108</v>
      </c>
      <c r="H896" s="23" t="n">
        <v>25.35</v>
      </c>
      <c r="I896" s="23" t="n">
        <v>357637.8</v>
      </c>
      <c r="J896" s="23" t="n">
        <v>288508.6</v>
      </c>
      <c r="K896">
        <f>IF(OR(COUNTIF($A$5:A896,A896)&gt;1,G896&lt;0,C896="",B896&lt;'Work 1'!$C$6,B896&gt;'Work 1'!$C$7,H896&gt;'Work 1'!$C$8*AVERAGEIF($F$5:$F$1014,F896,$H$5:$H$1014)),"Excl",IF(B896&gt;='Work 1'!$C$5,"LTM","Prior"))</f>
        <v/>
      </c>
      <c r="L896">
        <f>I896-J896</f>
        <v/>
      </c>
    </row>
    <row r="897" ht="14.25" customHeight="1" s="54">
      <c r="A897" s="20" t="inlineStr">
        <is>
          <t>BH-40888</t>
        </is>
      </c>
      <c r="B897" s="21" t="n">
        <v>46113</v>
      </c>
      <c r="C897" s="20" t="inlineStr">
        <is>
          <t>C04</t>
        </is>
      </c>
      <c r="D897" s="20" t="inlineStr">
        <is>
          <t>Harvest Lane Co-op</t>
        </is>
      </c>
      <c r="E897" s="20" t="inlineStr">
        <is>
          <t>Grocery</t>
        </is>
      </c>
      <c r="F897" s="20" t="inlineStr">
        <is>
          <t>Granola</t>
        </is>
      </c>
      <c r="G897" s="22" t="n">
        <v>2803</v>
      </c>
      <c r="H897" s="23" t="n">
        <v>43.05</v>
      </c>
      <c r="I897" s="23" t="n">
        <v>120669.15</v>
      </c>
      <c r="J897" s="23" t="n">
        <v>75540.85000000001</v>
      </c>
      <c r="K897">
        <f>IF(OR(COUNTIF($A$5:A897,A897)&gt;1,G897&lt;0,C897="",B897&lt;'Work 1'!$C$6,B897&gt;'Work 1'!$C$7,H897&gt;'Work 1'!$C$8*AVERAGEIF($F$5:$F$1014,F897,$H$5:$H$1014)),"Excl",IF(B897&gt;='Work 1'!$C$5,"LTM","Prior"))</f>
        <v/>
      </c>
      <c r="L897">
        <f>I897-J897</f>
        <v/>
      </c>
    </row>
    <row r="898" ht="14.25" customHeight="1" s="54">
      <c r="A898" s="20" t="inlineStr">
        <is>
          <t>BH-40889</t>
        </is>
      </c>
      <c r="B898" s="21" t="n">
        <v>46113</v>
      </c>
      <c r="C898" s="20" t="inlineStr">
        <is>
          <t>C04</t>
        </is>
      </c>
      <c r="D898" s="20" t="inlineStr">
        <is>
          <t>Harvest Lane Co-op</t>
        </is>
      </c>
      <c r="E898" s="20" t="inlineStr">
        <is>
          <t>Grocery</t>
        </is>
      </c>
      <c r="F898" s="20" t="inlineStr">
        <is>
          <t>Nut Butter</t>
        </is>
      </c>
      <c r="G898" s="22" t="n">
        <v>1586</v>
      </c>
      <c r="H898" s="23" t="n">
        <v>57.25</v>
      </c>
      <c r="I898" s="23" t="n">
        <v>90798.5</v>
      </c>
      <c r="J898" s="23" t="n">
        <v>62647</v>
      </c>
      <c r="K898">
        <f>IF(OR(COUNTIF($A$5:A898,A898)&gt;1,G898&lt;0,C898="",B898&lt;'Work 1'!$C$6,B898&gt;'Work 1'!$C$7,H898&gt;'Work 1'!$C$8*AVERAGEIF($F$5:$F$1014,F898,$H$5:$H$1014)),"Excl",IF(B898&gt;='Work 1'!$C$5,"LTM","Prior"))</f>
        <v/>
      </c>
      <c r="L898">
        <f>I898-J898</f>
        <v/>
      </c>
    </row>
    <row r="899" ht="14.25" customHeight="1" s="54">
      <c r="A899" s="20" t="inlineStr">
        <is>
          <t>BH-40890</t>
        </is>
      </c>
      <c r="B899" s="21" t="n">
        <v>46113</v>
      </c>
      <c r="C899" s="20" t="inlineStr">
        <is>
          <t>C04</t>
        </is>
      </c>
      <c r="D899" s="20" t="inlineStr">
        <is>
          <t>Harvest Lane Co-op</t>
        </is>
      </c>
      <c r="E899" s="20" t="inlineStr">
        <is>
          <t>Grocery</t>
        </is>
      </c>
      <c r="F899" s="20" t="inlineStr">
        <is>
          <t>Snack Bars</t>
        </is>
      </c>
      <c r="G899" s="22" t="n">
        <v>1782</v>
      </c>
      <c r="H899" s="23" t="n">
        <v>33.35</v>
      </c>
      <c r="I899" s="23" t="n">
        <v>59429.7</v>
      </c>
      <c r="J899" s="23" t="n">
        <v>36441.9</v>
      </c>
      <c r="K899">
        <f>IF(OR(COUNTIF($A$5:A899,A899)&gt;1,G899&lt;0,C899="",B899&lt;'Work 1'!$C$6,B899&gt;'Work 1'!$C$7,H899&gt;'Work 1'!$C$8*AVERAGEIF($F$5:$F$1014,F899,$H$5:$H$1014)),"Excl",IF(B899&gt;='Work 1'!$C$5,"LTM","Prior"))</f>
        <v/>
      </c>
      <c r="L899">
        <f>I899-J899</f>
        <v/>
      </c>
    </row>
    <row r="900" ht="14.25" customHeight="1" s="54">
      <c r="A900" s="20" t="inlineStr">
        <is>
          <t>BH-40891</t>
        </is>
      </c>
      <c r="B900" s="21" t="n">
        <v>46113</v>
      </c>
      <c r="C900" s="20" t="inlineStr">
        <is>
          <t>C05</t>
        </is>
      </c>
      <c r="D900" s="20" t="inlineStr">
        <is>
          <t>Pioneer Foods Distribution</t>
        </is>
      </c>
      <c r="E900" s="20" t="inlineStr">
        <is>
          <t>Grocery</t>
        </is>
      </c>
      <c r="F900" s="20" t="inlineStr">
        <is>
          <t>Granola</t>
        </is>
      </c>
      <c r="G900" s="22" t="n">
        <v>3359</v>
      </c>
      <c r="H900" s="23" t="n">
        <v>38.74</v>
      </c>
      <c r="I900" s="23" t="n">
        <v>130127.66</v>
      </c>
      <c r="J900" s="23" t="n">
        <v>90525.05</v>
      </c>
      <c r="K900">
        <f>IF(OR(COUNTIF($A$5:A900,A900)&gt;1,G900&lt;0,C900="",B900&lt;'Work 1'!$C$6,B900&gt;'Work 1'!$C$7,H900&gt;'Work 1'!$C$8*AVERAGEIF($F$5:$F$1014,F900,$H$5:$H$1014)),"Excl",IF(B900&gt;='Work 1'!$C$5,"LTM","Prior"))</f>
        <v/>
      </c>
      <c r="L900">
        <f>I900-J900</f>
        <v/>
      </c>
    </row>
    <row r="901" ht="14.25" customHeight="1" s="54">
      <c r="A901" s="20" t="inlineStr">
        <is>
          <t>BH-40892</t>
        </is>
      </c>
      <c r="B901" s="21" t="n">
        <v>46113</v>
      </c>
      <c r="C901" s="20" t="inlineStr">
        <is>
          <t>C05</t>
        </is>
      </c>
      <c r="D901" s="20" t="inlineStr">
        <is>
          <t>Pioneer Foods Distribution</t>
        </is>
      </c>
      <c r="E901" s="20" t="inlineStr">
        <is>
          <t>Grocery</t>
        </is>
      </c>
      <c r="F901" s="20" t="inlineStr">
        <is>
          <t>Nut Butter</t>
        </is>
      </c>
      <c r="G901" s="22" t="n">
        <v>1860</v>
      </c>
      <c r="H901" s="23" t="n">
        <v>51.52</v>
      </c>
      <c r="I901" s="23" t="n">
        <v>95827.2</v>
      </c>
      <c r="J901" s="23" t="n">
        <v>73470</v>
      </c>
      <c r="K901">
        <f>IF(OR(COUNTIF($A$5:A901,A901)&gt;1,G901&lt;0,C901="",B901&lt;'Work 1'!$C$6,B901&gt;'Work 1'!$C$7,H901&gt;'Work 1'!$C$8*AVERAGEIF($F$5:$F$1014,F901,$H$5:$H$1014)),"Excl",IF(B901&gt;='Work 1'!$C$5,"LTM","Prior"))</f>
        <v/>
      </c>
      <c r="L901">
        <f>I901-J901</f>
        <v/>
      </c>
    </row>
    <row r="902" ht="14.25" customHeight="1" s="54">
      <c r="A902" s="20" t="inlineStr">
        <is>
          <t>BH-40893</t>
        </is>
      </c>
      <c r="B902" s="21" t="n">
        <v>46113</v>
      </c>
      <c r="C902" s="20" t="inlineStr">
        <is>
          <t>C05</t>
        </is>
      </c>
      <c r="D902" s="20" t="inlineStr">
        <is>
          <t>Pioneer Foods Distribution</t>
        </is>
      </c>
      <c r="E902" s="20" t="inlineStr">
        <is>
          <t>Grocery</t>
        </is>
      </c>
      <c r="F902" s="20" t="inlineStr">
        <is>
          <t>Snack Bars</t>
        </is>
      </c>
      <c r="G902" s="22" t="n">
        <v>2984</v>
      </c>
      <c r="H902" s="23" t="n">
        <v>30.02</v>
      </c>
      <c r="I902" s="23" t="n">
        <v>89579.67999999999</v>
      </c>
      <c r="J902" s="23" t="n">
        <v>61022.8</v>
      </c>
      <c r="K902">
        <f>IF(OR(COUNTIF($A$5:A902,A902)&gt;1,G902&lt;0,C902="",B902&lt;'Work 1'!$C$6,B902&gt;'Work 1'!$C$7,H902&gt;'Work 1'!$C$8*AVERAGEIF($F$5:$F$1014,F902,$H$5:$H$1014)),"Excl",IF(B902&gt;='Work 1'!$C$5,"LTM","Prior"))</f>
        <v/>
      </c>
      <c r="L902">
        <f>I902-J902</f>
        <v/>
      </c>
    </row>
    <row r="903" ht="14.25" customHeight="1" s="54">
      <c r="A903" s="20" t="inlineStr">
        <is>
          <t>BH-40894</t>
        </is>
      </c>
      <c r="B903" s="21" t="n">
        <v>46113</v>
      </c>
      <c r="C903" s="20" t="inlineStr">
        <is>
          <t>C06</t>
        </is>
      </c>
      <c r="D903" s="20" t="inlineStr">
        <is>
          <t>Summit Club Stores</t>
        </is>
      </c>
      <c r="E903" s="20" t="inlineStr">
        <is>
          <t>Club</t>
        </is>
      </c>
      <c r="F903" s="20" t="inlineStr">
        <is>
          <t>Granola</t>
        </is>
      </c>
      <c r="G903" s="22" t="n">
        <v>5090</v>
      </c>
      <c r="H903" s="23" t="n">
        <v>36.6</v>
      </c>
      <c r="I903" s="23" t="n">
        <v>186294</v>
      </c>
      <c r="J903" s="23" t="n">
        <v>137175.5</v>
      </c>
      <c r="K903">
        <f>IF(OR(COUNTIF($A$5:A903,A903)&gt;1,G903&lt;0,C903="",B903&lt;'Work 1'!$C$6,B903&gt;'Work 1'!$C$7,H903&gt;'Work 1'!$C$8*AVERAGEIF($F$5:$F$1014,F903,$H$5:$H$1014)),"Excl",IF(B903&gt;='Work 1'!$C$5,"LTM","Prior"))</f>
        <v/>
      </c>
      <c r="L903">
        <f>I903-J903</f>
        <v/>
      </c>
    </row>
    <row r="904" ht="14.25" customHeight="1" s="54">
      <c r="A904" s="20" t="inlineStr">
        <is>
          <t>BH-40895</t>
        </is>
      </c>
      <c r="B904" s="21" t="n">
        <v>46113</v>
      </c>
      <c r="C904" s="20" t="inlineStr">
        <is>
          <t>C06</t>
        </is>
      </c>
      <c r="D904" s="20" t="inlineStr">
        <is>
          <t>Summit Club Stores</t>
        </is>
      </c>
      <c r="E904" s="20" t="inlineStr">
        <is>
          <t>Club</t>
        </is>
      </c>
      <c r="F904" s="20" t="inlineStr">
        <is>
          <t>Nut Butter</t>
        </is>
      </c>
      <c r="G904" s="22" t="n">
        <v>2810</v>
      </c>
      <c r="H904" s="23" t="n">
        <v>48.75</v>
      </c>
      <c r="I904" s="23" t="n">
        <v>136987.5</v>
      </c>
      <c r="J904" s="23" t="n">
        <v>110995</v>
      </c>
      <c r="K904">
        <f>IF(OR(COUNTIF($A$5:A904,A904)&gt;1,G904&lt;0,C904="",B904&lt;'Work 1'!$C$6,B904&gt;'Work 1'!$C$7,H904&gt;'Work 1'!$C$8*AVERAGEIF($F$5:$F$1014,F904,$H$5:$H$1014)),"Excl",IF(B904&gt;='Work 1'!$C$5,"LTM","Prior"))</f>
        <v/>
      </c>
      <c r="L904">
        <f>I904-J904</f>
        <v/>
      </c>
    </row>
    <row r="905" ht="14.25" customHeight="1" s="54">
      <c r="A905" s="20" t="inlineStr">
        <is>
          <t>BH-40896</t>
        </is>
      </c>
      <c r="B905" s="21" t="n">
        <v>46113</v>
      </c>
      <c r="C905" s="20" t="inlineStr">
        <is>
          <t>C07</t>
        </is>
      </c>
      <c r="D905" s="20" t="inlineStr">
        <is>
          <t>Bramble Hill Online Store</t>
        </is>
      </c>
      <c r="E905" s="20" t="inlineStr">
        <is>
          <t>Online</t>
        </is>
      </c>
      <c r="F905" s="20" t="inlineStr">
        <is>
          <t>Granola</t>
        </is>
      </c>
      <c r="G905" s="22" t="n">
        <v>3433</v>
      </c>
      <c r="H905" s="23" t="n">
        <v>49.4</v>
      </c>
      <c r="I905" s="23" t="n">
        <v>169590.2</v>
      </c>
      <c r="J905" s="23" t="n">
        <v>92519.35000000001</v>
      </c>
      <c r="K905">
        <f>IF(OR(COUNTIF($A$5:A905,A905)&gt;1,G905&lt;0,C905="",B905&lt;'Work 1'!$C$6,B905&gt;'Work 1'!$C$7,H905&gt;'Work 1'!$C$8*AVERAGEIF($F$5:$F$1014,F905,$H$5:$H$1014)),"Excl",IF(B905&gt;='Work 1'!$C$5,"LTM","Prior"))</f>
        <v/>
      </c>
      <c r="L905">
        <f>I905-J905</f>
        <v/>
      </c>
    </row>
    <row r="906" ht="14.25" customHeight="1" s="54">
      <c r="A906" s="20" t="inlineStr">
        <is>
          <t>BH-40897</t>
        </is>
      </c>
      <c r="B906" s="21" t="n">
        <v>46113</v>
      </c>
      <c r="C906" s="20" t="inlineStr">
        <is>
          <t>C07</t>
        </is>
      </c>
      <c r="D906" s="20" t="inlineStr">
        <is>
          <t>Bramble Hill Online Store</t>
        </is>
      </c>
      <c r="E906" s="20" t="inlineStr">
        <is>
          <t>Online</t>
        </is>
      </c>
      <c r="F906" s="20" t="inlineStr">
        <is>
          <t>Nut Butter</t>
        </is>
      </c>
      <c r="G906" s="22" t="n">
        <v>2036</v>
      </c>
      <c r="H906" s="23" t="n">
        <v>64.40000000000001</v>
      </c>
      <c r="I906" s="23" t="n">
        <v>131118.4</v>
      </c>
      <c r="J906" s="23" t="n">
        <v>80422</v>
      </c>
      <c r="K906">
        <f>IF(OR(COUNTIF($A$5:A906,A906)&gt;1,G906&lt;0,C906="",B906&lt;'Work 1'!$C$6,B906&gt;'Work 1'!$C$7,H906&gt;'Work 1'!$C$8*AVERAGEIF($F$5:$F$1014,F906,$H$5:$H$1014)),"Excl",IF(B906&gt;='Work 1'!$C$5,"LTM","Prior"))</f>
        <v/>
      </c>
      <c r="L906">
        <f>I906-J906</f>
        <v/>
      </c>
    </row>
    <row r="907" ht="14.25" customHeight="1" s="54">
      <c r="A907" s="20" t="inlineStr">
        <is>
          <t>BH-40898</t>
        </is>
      </c>
      <c r="B907" s="21" t="n">
        <v>46113</v>
      </c>
      <c r="C907" s="20" t="inlineStr">
        <is>
          <t>C07</t>
        </is>
      </c>
      <c r="D907" s="20" t="inlineStr">
        <is>
          <t>Bramble Hill Online Store</t>
        </is>
      </c>
      <c r="E907" s="20" t="inlineStr">
        <is>
          <t>Online</t>
        </is>
      </c>
      <c r="F907" s="20" t="inlineStr">
        <is>
          <t>Snack Bars</t>
        </is>
      </c>
      <c r="G907" s="22" t="n">
        <v>2648</v>
      </c>
      <c r="H907" s="23" t="n">
        <v>39.3</v>
      </c>
      <c r="I907" s="23" t="n">
        <v>104066.4</v>
      </c>
      <c r="J907" s="23" t="n">
        <v>54151.6</v>
      </c>
      <c r="K907">
        <f>IF(OR(COUNTIF($A$5:A907,A907)&gt;1,G907&lt;0,C907="",B907&lt;'Work 1'!$C$6,B907&gt;'Work 1'!$C$7,H907&gt;'Work 1'!$C$8*AVERAGEIF($F$5:$F$1014,F907,$H$5:$H$1014)),"Excl",IF(B907&gt;='Work 1'!$C$5,"LTM","Prior"))</f>
        <v/>
      </c>
      <c r="L907">
        <f>I907-J907</f>
        <v/>
      </c>
    </row>
    <row r="908" ht="14.25" customHeight="1" s="54">
      <c r="A908" s="20" t="inlineStr">
        <is>
          <t>BH-40899</t>
        </is>
      </c>
      <c r="B908" s="21" t="n">
        <v>46113</v>
      </c>
      <c r="C908" s="20" t="inlineStr">
        <is>
          <t>C08</t>
        </is>
      </c>
      <c r="D908" s="20" t="inlineStr">
        <is>
          <t>Online Marketplace</t>
        </is>
      </c>
      <c r="E908" s="20" t="inlineStr">
        <is>
          <t>Online</t>
        </is>
      </c>
      <c r="F908" s="20" t="inlineStr">
        <is>
          <t>Granola</t>
        </is>
      </c>
      <c r="G908" s="22" t="n">
        <v>4054</v>
      </c>
      <c r="H908" s="23" t="n">
        <v>43.47</v>
      </c>
      <c r="I908" s="23" t="n">
        <v>176227.38</v>
      </c>
      <c r="J908" s="23" t="n">
        <v>109255.3</v>
      </c>
      <c r="K908">
        <f>IF(OR(COUNTIF($A$5:A908,A908)&gt;1,G908&lt;0,C908="",B908&lt;'Work 1'!$C$6,B908&gt;'Work 1'!$C$7,H908&gt;'Work 1'!$C$8*AVERAGEIF($F$5:$F$1014,F908,$H$5:$H$1014)),"Excl",IF(B908&gt;='Work 1'!$C$5,"LTM","Prior"))</f>
        <v/>
      </c>
      <c r="L908">
        <f>I908-J908</f>
        <v/>
      </c>
    </row>
    <row r="909" ht="14.25" customHeight="1" s="54">
      <c r="A909" s="20" t="inlineStr">
        <is>
          <t>BH-40900</t>
        </is>
      </c>
      <c r="B909" s="21" t="n">
        <v>46113</v>
      </c>
      <c r="C909" s="20" t="inlineStr">
        <is>
          <t>C08</t>
        </is>
      </c>
      <c r="D909" s="20" t="inlineStr">
        <is>
          <t>Online Marketplace</t>
        </is>
      </c>
      <c r="E909" s="20" t="inlineStr">
        <is>
          <t>Online</t>
        </is>
      </c>
      <c r="F909" s="20" t="inlineStr">
        <is>
          <t>Nut Butter</t>
        </is>
      </c>
      <c r="G909" s="22" t="n">
        <v>2148</v>
      </c>
      <c r="H909" s="23" t="n">
        <v>56.67</v>
      </c>
      <c r="I909" s="23" t="n">
        <v>121727.16</v>
      </c>
      <c r="J909" s="23" t="n">
        <v>84846</v>
      </c>
      <c r="K909">
        <f>IF(OR(COUNTIF($A$5:A909,A909)&gt;1,G909&lt;0,C909="",B909&lt;'Work 1'!$C$6,B909&gt;'Work 1'!$C$7,H909&gt;'Work 1'!$C$8*AVERAGEIF($F$5:$F$1014,F909,$H$5:$H$1014)),"Excl",IF(B909&gt;='Work 1'!$C$5,"LTM","Prior"))</f>
        <v/>
      </c>
      <c r="L909">
        <f>I909-J909</f>
        <v/>
      </c>
    </row>
    <row r="910" ht="14.25" customHeight="1" s="54">
      <c r="A910" s="20" t="inlineStr">
        <is>
          <t>BH-40901</t>
        </is>
      </c>
      <c r="B910" s="21" t="n">
        <v>46113</v>
      </c>
      <c r="C910" s="20" t="inlineStr">
        <is>
          <t>C08</t>
        </is>
      </c>
      <c r="D910" s="20" t="inlineStr">
        <is>
          <t>Online Marketplace</t>
        </is>
      </c>
      <c r="E910" s="20" t="inlineStr">
        <is>
          <t>Online</t>
        </is>
      </c>
      <c r="F910" s="20" t="inlineStr">
        <is>
          <t>Snack Bars</t>
        </is>
      </c>
      <c r="G910" s="22" t="n">
        <v>3402</v>
      </c>
      <c r="H910" s="23" t="n">
        <v>34.58</v>
      </c>
      <c r="I910" s="23" t="n">
        <v>117641.16</v>
      </c>
      <c r="J910" s="23" t="n">
        <v>69570.89999999999</v>
      </c>
      <c r="K910">
        <f>IF(OR(COUNTIF($A$5:A910,A910)&gt;1,G910&lt;0,C910="",B910&lt;'Work 1'!$C$6,B910&gt;'Work 1'!$C$7,H910&gt;'Work 1'!$C$8*AVERAGEIF($F$5:$F$1014,F910,$H$5:$H$1014)),"Excl",IF(B910&gt;='Work 1'!$C$5,"LTM","Prior"))</f>
        <v/>
      </c>
      <c r="L910">
        <f>I910-J910</f>
        <v/>
      </c>
    </row>
    <row r="911" ht="14.25" customHeight="1" s="54">
      <c r="A911" s="20" t="inlineStr">
        <is>
          <t>BH-40902</t>
        </is>
      </c>
      <c r="B911" s="21" t="n">
        <v>46113</v>
      </c>
      <c r="C911" s="20" t="inlineStr">
        <is>
          <t>C09</t>
        </is>
      </c>
      <c r="D911" s="20" t="inlineStr">
        <is>
          <t>Maple Ridge Grocers</t>
        </is>
      </c>
      <c r="E911" s="20" t="inlineStr">
        <is>
          <t>Grocery</t>
        </is>
      </c>
      <c r="F911" s="20" t="inlineStr">
        <is>
          <t>Granola</t>
        </is>
      </c>
      <c r="G911" s="22" t="n">
        <v>1651</v>
      </c>
      <c r="H911" s="23" t="n">
        <v>43.05</v>
      </c>
      <c r="I911" s="23" t="n">
        <v>71075.55</v>
      </c>
      <c r="J911" s="23" t="n">
        <v>44494.45</v>
      </c>
      <c r="K911">
        <f>IF(OR(COUNTIF($A$5:A911,A911)&gt;1,G911&lt;0,C911="",B911&lt;'Work 1'!$C$6,B911&gt;'Work 1'!$C$7,H911&gt;'Work 1'!$C$8*AVERAGEIF($F$5:$F$1014,F911,$H$5:$H$1014)),"Excl",IF(B911&gt;='Work 1'!$C$5,"LTM","Prior"))</f>
        <v/>
      </c>
      <c r="L911">
        <f>I911-J911</f>
        <v/>
      </c>
    </row>
    <row r="912" ht="14.25" customHeight="1" s="54">
      <c r="A912" s="20" t="inlineStr">
        <is>
          <t>BH-40903</t>
        </is>
      </c>
      <c r="B912" s="21" t="n">
        <v>46113</v>
      </c>
      <c r="C912" s="20" t="inlineStr">
        <is>
          <t>C09</t>
        </is>
      </c>
      <c r="D912" s="20" t="inlineStr">
        <is>
          <t>Maple Ridge Grocers</t>
        </is>
      </c>
      <c r="E912" s="20" t="inlineStr">
        <is>
          <t>Grocery</t>
        </is>
      </c>
      <c r="F912" s="20" t="inlineStr">
        <is>
          <t>Snack Bars</t>
        </is>
      </c>
      <c r="G912" s="22" t="n">
        <v>1356</v>
      </c>
      <c r="H912" s="23" t="n">
        <v>33.35</v>
      </c>
      <c r="I912" s="23" t="n">
        <v>45222.6</v>
      </c>
      <c r="J912" s="23" t="n">
        <v>27730.2</v>
      </c>
      <c r="K912">
        <f>IF(OR(COUNTIF($A$5:A912,A912)&gt;1,G912&lt;0,C912="",B912&lt;'Work 1'!$C$6,B912&gt;'Work 1'!$C$7,H912&gt;'Work 1'!$C$8*AVERAGEIF($F$5:$F$1014,F912,$H$5:$H$1014)),"Excl",IF(B912&gt;='Work 1'!$C$5,"LTM","Prior"))</f>
        <v/>
      </c>
      <c r="L912">
        <f>I912-J912</f>
        <v/>
      </c>
    </row>
    <row r="913" ht="14.25" customHeight="1" s="54">
      <c r="A913" s="20" t="inlineStr">
        <is>
          <t>BH-40904</t>
        </is>
      </c>
      <c r="B913" s="21" t="n">
        <v>46113</v>
      </c>
      <c r="C913" s="20" t="inlineStr">
        <is>
          <t>C10</t>
        </is>
      </c>
      <c r="D913" s="20" t="inlineStr">
        <is>
          <t>Lakeshore Foods</t>
        </is>
      </c>
      <c r="E913" s="20" t="inlineStr">
        <is>
          <t>Grocery</t>
        </is>
      </c>
      <c r="F913" s="20" t="inlineStr">
        <is>
          <t>Granola</t>
        </is>
      </c>
      <c r="G913" s="22" t="n">
        <v>1385</v>
      </c>
      <c r="H913" s="23" t="n">
        <v>43.05</v>
      </c>
      <c r="I913" s="23" t="n">
        <v>59624.25</v>
      </c>
      <c r="J913" s="23" t="n">
        <v>37325.75</v>
      </c>
      <c r="K913">
        <f>IF(OR(COUNTIF($A$5:A913,A913)&gt;1,G913&lt;0,C913="",B913&lt;'Work 1'!$C$6,B913&gt;'Work 1'!$C$7,H913&gt;'Work 1'!$C$8*AVERAGEIF($F$5:$F$1014,F913,$H$5:$H$1014)),"Excl",IF(B913&gt;='Work 1'!$C$5,"LTM","Prior"))</f>
        <v/>
      </c>
      <c r="L913">
        <f>I913-J913</f>
        <v/>
      </c>
    </row>
    <row r="914" ht="14.25" customHeight="1" s="54">
      <c r="A914" s="20" t="inlineStr">
        <is>
          <t>BH-40905</t>
        </is>
      </c>
      <c r="B914" s="21" t="n">
        <v>46113</v>
      </c>
      <c r="C914" s="20" t="inlineStr">
        <is>
          <t>C10</t>
        </is>
      </c>
      <c r="D914" s="20" t="inlineStr">
        <is>
          <t>Lakeshore Foods</t>
        </is>
      </c>
      <c r="E914" s="20" t="inlineStr">
        <is>
          <t>Grocery</t>
        </is>
      </c>
      <c r="F914" s="20" t="inlineStr">
        <is>
          <t>Nut Butter</t>
        </is>
      </c>
      <c r="G914" s="22" t="n">
        <v>594</v>
      </c>
      <c r="H914" s="23" t="n">
        <v>57.25</v>
      </c>
      <c r="I914" s="23" t="n">
        <v>34006.5</v>
      </c>
      <c r="J914" s="23" t="n">
        <v>23463</v>
      </c>
      <c r="K914">
        <f>IF(OR(COUNTIF($A$5:A914,A914)&gt;1,G914&lt;0,C914="",B914&lt;'Work 1'!$C$6,B914&gt;'Work 1'!$C$7,H914&gt;'Work 1'!$C$8*AVERAGEIF($F$5:$F$1014,F914,$H$5:$H$1014)),"Excl",IF(B914&gt;='Work 1'!$C$5,"LTM","Prior"))</f>
        <v/>
      </c>
      <c r="L914">
        <f>I914-J914</f>
        <v/>
      </c>
    </row>
    <row r="915" ht="14.25" customHeight="1" s="54">
      <c r="A915" s="20" t="inlineStr">
        <is>
          <t>BH-40906</t>
        </is>
      </c>
      <c r="B915" s="21" t="n">
        <v>46113</v>
      </c>
      <c r="C915" s="20" t="inlineStr">
        <is>
          <t>C11</t>
        </is>
      </c>
      <c r="D915" s="20" t="inlineStr">
        <is>
          <t>Copper Valley Market</t>
        </is>
      </c>
      <c r="E915" s="20" t="inlineStr">
        <is>
          <t>Grocery</t>
        </is>
      </c>
      <c r="F915" s="20" t="inlineStr">
        <is>
          <t>Granola</t>
        </is>
      </c>
      <c r="G915" s="22" t="n">
        <v>1226</v>
      </c>
      <c r="H915" s="23" t="n">
        <v>43.05</v>
      </c>
      <c r="I915" s="23" t="n">
        <v>52779.3</v>
      </c>
      <c r="J915" s="23" t="n">
        <v>33040.7</v>
      </c>
      <c r="K915">
        <f>IF(OR(COUNTIF($A$5:A915,A915)&gt;1,G915&lt;0,C915="",B915&lt;'Work 1'!$C$6,B915&gt;'Work 1'!$C$7,H915&gt;'Work 1'!$C$8*AVERAGEIF($F$5:$F$1014,F915,$H$5:$H$1014)),"Excl",IF(B915&gt;='Work 1'!$C$5,"LTM","Prior"))</f>
        <v/>
      </c>
      <c r="L915">
        <f>I915-J915</f>
        <v/>
      </c>
    </row>
    <row r="916" ht="14.25" customHeight="1" s="54">
      <c r="A916" s="20" t="inlineStr">
        <is>
          <t>BH-40907</t>
        </is>
      </c>
      <c r="B916" s="21" t="n">
        <v>46113</v>
      </c>
      <c r="C916" s="20" t="inlineStr">
        <is>
          <t>C11</t>
        </is>
      </c>
      <c r="D916" s="20" t="inlineStr">
        <is>
          <t>Copper Valley Market</t>
        </is>
      </c>
      <c r="E916" s="20" t="inlineStr">
        <is>
          <t>Grocery</t>
        </is>
      </c>
      <c r="F916" s="20" t="inlineStr">
        <is>
          <t>Snack Bars</t>
        </is>
      </c>
      <c r="G916" s="22" t="n">
        <v>1308</v>
      </c>
      <c r="H916" s="23" t="n">
        <v>33.35</v>
      </c>
      <c r="I916" s="23" t="n">
        <v>43621.8</v>
      </c>
      <c r="J916" s="23" t="n">
        <v>26748.6</v>
      </c>
      <c r="K916">
        <f>IF(OR(COUNTIF($A$5:A916,A916)&gt;1,G916&lt;0,C916="",B916&lt;'Work 1'!$C$6,B916&gt;'Work 1'!$C$7,H916&gt;'Work 1'!$C$8*AVERAGEIF($F$5:$F$1014,F916,$H$5:$H$1014)),"Excl",IF(B916&gt;='Work 1'!$C$5,"LTM","Prior"))</f>
        <v/>
      </c>
      <c r="L916">
        <f>I916-J916</f>
        <v/>
      </c>
    </row>
    <row r="917" ht="14.25" customHeight="1" s="54">
      <c r="A917" s="20" t="inlineStr">
        <is>
          <t>BH-40908</t>
        </is>
      </c>
      <c r="B917" s="21" t="n">
        <v>46113</v>
      </c>
      <c r="C917" s="20" t="inlineStr">
        <is>
          <t>C12</t>
        </is>
      </c>
      <c r="D917" s="20" t="inlineStr">
        <is>
          <t>Riverbend Grocery</t>
        </is>
      </c>
      <c r="E917" s="20" t="inlineStr">
        <is>
          <t>Grocery</t>
        </is>
      </c>
      <c r="F917" s="20" t="inlineStr">
        <is>
          <t>Granola</t>
        </is>
      </c>
      <c r="G917" s="22" t="n">
        <v>1722</v>
      </c>
      <c r="H917" s="23" t="n">
        <v>43.05</v>
      </c>
      <c r="I917" s="23" t="n">
        <v>74132.10000000001</v>
      </c>
      <c r="J917" s="23" t="n">
        <v>46407.9</v>
      </c>
      <c r="K917">
        <f>IF(OR(COUNTIF($A$5:A917,A917)&gt;1,G917&lt;0,C917="",B917&lt;'Work 1'!$C$6,B917&gt;'Work 1'!$C$7,H917&gt;'Work 1'!$C$8*AVERAGEIF($F$5:$F$1014,F917,$H$5:$H$1014)),"Excl",IF(B917&gt;='Work 1'!$C$5,"LTM","Prior"))</f>
        <v/>
      </c>
      <c r="L917">
        <f>I917-J917</f>
        <v/>
      </c>
    </row>
    <row r="918" ht="14.25" customHeight="1" s="54">
      <c r="A918" s="20" t="inlineStr">
        <is>
          <t>BH-40909</t>
        </is>
      </c>
      <c r="B918" s="21" t="n">
        <v>46113</v>
      </c>
      <c r="C918" s="20" t="inlineStr">
        <is>
          <t>C12</t>
        </is>
      </c>
      <c r="D918" s="20" t="inlineStr">
        <is>
          <t>Riverbend Grocery</t>
        </is>
      </c>
      <c r="E918" s="20" t="inlineStr">
        <is>
          <t>Grocery</t>
        </is>
      </c>
      <c r="F918" s="20" t="inlineStr">
        <is>
          <t>Nut Butter</t>
        </is>
      </c>
      <c r="G918" s="22" t="n">
        <v>773</v>
      </c>
      <c r="H918" s="23" t="n">
        <v>57.25</v>
      </c>
      <c r="I918" s="23" t="n">
        <v>44254.25</v>
      </c>
      <c r="J918" s="23" t="n">
        <v>30533.5</v>
      </c>
      <c r="K918">
        <f>IF(OR(COUNTIF($A$5:A918,A918)&gt;1,G918&lt;0,C918="",B918&lt;'Work 1'!$C$6,B918&gt;'Work 1'!$C$7,H918&gt;'Work 1'!$C$8*AVERAGEIF($F$5:$F$1014,F918,$H$5:$H$1014)),"Excl",IF(B918&gt;='Work 1'!$C$5,"LTM","Prior"))</f>
        <v/>
      </c>
      <c r="L918">
        <f>I918-J918</f>
        <v/>
      </c>
    </row>
    <row r="919" ht="14.25" customHeight="1" s="54">
      <c r="A919" s="20" t="inlineStr">
        <is>
          <t>BH-40910</t>
        </is>
      </c>
      <c r="B919" s="21" t="n">
        <v>46113</v>
      </c>
      <c r="C919" s="20" t="inlineStr">
        <is>
          <t>C13</t>
        </is>
      </c>
      <c r="D919" s="20" t="inlineStr">
        <is>
          <t>Sunfield Markets</t>
        </is>
      </c>
      <c r="E919" s="20" t="inlineStr">
        <is>
          <t>Grocery</t>
        </is>
      </c>
      <c r="F919" s="20" t="inlineStr">
        <is>
          <t>Granola</t>
        </is>
      </c>
      <c r="G919" s="22" t="n">
        <v>1076</v>
      </c>
      <c r="H919" s="23" t="n">
        <v>43.05</v>
      </c>
      <c r="I919" s="23" t="n">
        <v>46321.8</v>
      </c>
      <c r="J919" s="23" t="n">
        <v>28998.2</v>
      </c>
      <c r="K919">
        <f>IF(OR(COUNTIF($A$5:A919,A919)&gt;1,G919&lt;0,C919="",B919&lt;'Work 1'!$C$6,B919&gt;'Work 1'!$C$7,H919&gt;'Work 1'!$C$8*AVERAGEIF($F$5:$F$1014,F919,$H$5:$H$1014)),"Excl",IF(B919&gt;='Work 1'!$C$5,"LTM","Prior"))</f>
        <v/>
      </c>
      <c r="L919">
        <f>I919-J919</f>
        <v/>
      </c>
    </row>
    <row r="920" ht="14.25" customHeight="1" s="54">
      <c r="A920" s="20" t="inlineStr">
        <is>
          <t>BH-40911</t>
        </is>
      </c>
      <c r="B920" s="21" t="n">
        <v>46113</v>
      </c>
      <c r="C920" s="20" t="inlineStr">
        <is>
          <t>C13</t>
        </is>
      </c>
      <c r="D920" s="20" t="inlineStr">
        <is>
          <t>Sunfield Markets</t>
        </is>
      </c>
      <c r="E920" s="20" t="inlineStr">
        <is>
          <t>Grocery</t>
        </is>
      </c>
      <c r="F920" s="20" t="inlineStr">
        <is>
          <t>Snack Bars</t>
        </is>
      </c>
      <c r="G920" s="22" t="n">
        <v>1059</v>
      </c>
      <c r="H920" s="23" t="n">
        <v>33.35</v>
      </c>
      <c r="I920" s="23" t="n">
        <v>35317.65</v>
      </c>
      <c r="J920" s="23" t="n">
        <v>21656.55</v>
      </c>
      <c r="K920">
        <f>IF(OR(COUNTIF($A$5:A920,A920)&gt;1,G920&lt;0,C920="",B920&lt;'Work 1'!$C$6,B920&gt;'Work 1'!$C$7,H920&gt;'Work 1'!$C$8*AVERAGEIF($F$5:$F$1014,F920,$H$5:$H$1014)),"Excl",IF(B920&gt;='Work 1'!$C$5,"LTM","Prior"))</f>
        <v/>
      </c>
      <c r="L920">
        <f>I920-J920</f>
        <v/>
      </c>
    </row>
    <row r="921" ht="14.25" customHeight="1" s="54">
      <c r="A921" s="20" t="inlineStr">
        <is>
          <t>BH-40912</t>
        </is>
      </c>
      <c r="B921" s="21" t="n">
        <v>46113</v>
      </c>
      <c r="C921" s="20" t="inlineStr">
        <is>
          <t>C14</t>
        </is>
      </c>
      <c r="D921" s="20" t="inlineStr">
        <is>
          <t>Oak Hollow Foods</t>
        </is>
      </c>
      <c r="E921" s="20" t="inlineStr">
        <is>
          <t>Grocery</t>
        </is>
      </c>
      <c r="F921" s="20" t="inlineStr">
        <is>
          <t>Granola</t>
        </is>
      </c>
      <c r="G921" s="22" t="n">
        <v>1062</v>
      </c>
      <c r="H921" s="23" t="n">
        <v>43.05</v>
      </c>
      <c r="I921" s="23" t="n">
        <v>45719.1</v>
      </c>
      <c r="J921" s="23" t="n">
        <v>28620.9</v>
      </c>
      <c r="K921">
        <f>IF(OR(COUNTIF($A$5:A921,A921)&gt;1,G921&lt;0,C921="",B921&lt;'Work 1'!$C$6,B921&gt;'Work 1'!$C$7,H921&gt;'Work 1'!$C$8*AVERAGEIF($F$5:$F$1014,F921,$H$5:$H$1014)),"Excl",IF(B921&gt;='Work 1'!$C$5,"LTM","Prior"))</f>
        <v/>
      </c>
      <c r="L921">
        <f>I921-J921</f>
        <v/>
      </c>
    </row>
    <row r="922" ht="14.25" customHeight="1" s="54">
      <c r="A922" s="20" t="inlineStr">
        <is>
          <t>BH-40913</t>
        </is>
      </c>
      <c r="B922" s="21" t="n">
        <v>46113</v>
      </c>
      <c r="C922" s="20" t="inlineStr">
        <is>
          <t>C14</t>
        </is>
      </c>
      <c r="D922" s="20" t="inlineStr">
        <is>
          <t>Oak Hollow Foods</t>
        </is>
      </c>
      <c r="E922" s="20" t="inlineStr">
        <is>
          <t>Grocery</t>
        </is>
      </c>
      <c r="F922" s="20" t="inlineStr">
        <is>
          <t>Nut Butter</t>
        </is>
      </c>
      <c r="G922" s="22" t="n">
        <v>413</v>
      </c>
      <c r="H922" s="23" t="n">
        <v>57.25</v>
      </c>
      <c r="I922" s="23" t="n">
        <v>23644.25</v>
      </c>
      <c r="J922" s="23" t="n">
        <v>16313.5</v>
      </c>
      <c r="K922">
        <f>IF(OR(COUNTIF($A$5:A922,A922)&gt;1,G922&lt;0,C922="",B922&lt;'Work 1'!$C$6,B922&gt;'Work 1'!$C$7,H922&gt;'Work 1'!$C$8*AVERAGEIF($F$5:$F$1014,F922,$H$5:$H$1014)),"Excl",IF(B922&gt;='Work 1'!$C$5,"LTM","Prior"))</f>
        <v/>
      </c>
      <c r="L922">
        <f>I922-J922</f>
        <v/>
      </c>
    </row>
    <row r="923" ht="14.25" customHeight="1" s="54">
      <c r="A923" s="20" t="inlineStr">
        <is>
          <t>BH-40914</t>
        </is>
      </c>
      <c r="B923" s="21" t="n">
        <v>46113</v>
      </c>
      <c r="C923" s="20" t="inlineStr">
        <is>
          <t>C14</t>
        </is>
      </c>
      <c r="D923" s="20" t="inlineStr">
        <is>
          <t>Oak Hollow Foods</t>
        </is>
      </c>
      <c r="E923" s="20" t="inlineStr">
        <is>
          <t>Grocery</t>
        </is>
      </c>
      <c r="F923" s="20" t="inlineStr">
        <is>
          <t>Snack Bars</t>
        </is>
      </c>
      <c r="G923" s="22" t="n">
        <v>708</v>
      </c>
      <c r="H923" s="23" t="n">
        <v>33.35</v>
      </c>
      <c r="I923" s="23" t="n">
        <v>23611.8</v>
      </c>
      <c r="J923" s="23" t="n">
        <v>14478.6</v>
      </c>
      <c r="K923">
        <f>IF(OR(COUNTIF($A$5:A923,A923)&gt;1,G923&lt;0,C923="",B923&lt;'Work 1'!$C$6,B923&gt;'Work 1'!$C$7,H923&gt;'Work 1'!$C$8*AVERAGEIF($F$5:$F$1014,F923,$H$5:$H$1014)),"Excl",IF(B923&gt;='Work 1'!$C$5,"LTM","Prior"))</f>
        <v/>
      </c>
      <c r="L923">
        <f>I923-J923</f>
        <v/>
      </c>
    </row>
    <row r="924" ht="14.25" customHeight="1" s="54">
      <c r="A924" s="20" t="inlineStr">
        <is>
          <t>BH-40915</t>
        </is>
      </c>
      <c r="B924" s="21" t="n">
        <v>46113</v>
      </c>
      <c r="C924" s="20" t="inlineStr">
        <is>
          <t>C15</t>
        </is>
      </c>
      <c r="D924" s="20" t="inlineStr">
        <is>
          <t>Prairie Fresh</t>
        </is>
      </c>
      <c r="E924" s="20" t="inlineStr">
        <is>
          <t>Grocery</t>
        </is>
      </c>
      <c r="F924" s="20" t="inlineStr">
        <is>
          <t>Granola</t>
        </is>
      </c>
      <c r="G924" s="22" t="n">
        <v>1390</v>
      </c>
      <c r="H924" s="23" t="n">
        <v>43.05</v>
      </c>
      <c r="I924" s="23" t="n">
        <v>59839.5</v>
      </c>
      <c r="J924" s="23" t="n">
        <v>37460.5</v>
      </c>
      <c r="K924">
        <f>IF(OR(COUNTIF($A$5:A924,A924)&gt;1,G924&lt;0,C924="",B924&lt;'Work 1'!$C$6,B924&gt;'Work 1'!$C$7,H924&gt;'Work 1'!$C$8*AVERAGEIF($F$5:$F$1014,F924,$H$5:$H$1014)),"Excl",IF(B924&gt;='Work 1'!$C$5,"LTM","Prior"))</f>
        <v/>
      </c>
      <c r="L924">
        <f>I924-J924</f>
        <v/>
      </c>
    </row>
    <row r="925" ht="14.25" customHeight="1" s="54">
      <c r="A925" s="20" t="inlineStr">
        <is>
          <t>BH-40916</t>
        </is>
      </c>
      <c r="B925" s="21" t="n">
        <v>46113</v>
      </c>
      <c r="C925" s="20" t="inlineStr">
        <is>
          <t>C15</t>
        </is>
      </c>
      <c r="D925" s="20" t="inlineStr">
        <is>
          <t>Prairie Fresh</t>
        </is>
      </c>
      <c r="E925" s="20" t="inlineStr">
        <is>
          <t>Grocery</t>
        </is>
      </c>
      <c r="F925" s="20" t="inlineStr">
        <is>
          <t>Snack Bars</t>
        </is>
      </c>
      <c r="G925" s="22" t="n">
        <v>1002</v>
      </c>
      <c r="H925" s="23" t="n">
        <v>33.35</v>
      </c>
      <c r="I925" s="23" t="n">
        <v>33416.7</v>
      </c>
      <c r="J925" s="23" t="n">
        <v>20490.9</v>
      </c>
      <c r="K925">
        <f>IF(OR(COUNTIF($A$5:A925,A925)&gt;1,G925&lt;0,C925="",B925&lt;'Work 1'!$C$6,B925&gt;'Work 1'!$C$7,H925&gt;'Work 1'!$C$8*AVERAGEIF($F$5:$F$1014,F925,$H$5:$H$1014)),"Excl",IF(B925&gt;='Work 1'!$C$5,"LTM","Prior"))</f>
        <v/>
      </c>
      <c r="L925">
        <f>I925-J925</f>
        <v/>
      </c>
    </row>
    <row r="926" ht="14.25" customHeight="1" s="54">
      <c r="A926" s="20" t="inlineStr">
        <is>
          <t>BH-40917</t>
        </is>
      </c>
      <c r="B926" s="21" t="n">
        <v>46113</v>
      </c>
      <c r="C926" s="20" t="inlineStr">
        <is>
          <t>C16</t>
        </is>
      </c>
      <c r="D926" s="20" t="inlineStr">
        <is>
          <t>Bay Street Market</t>
        </is>
      </c>
      <c r="E926" s="20" t="inlineStr">
        <is>
          <t>Grocery</t>
        </is>
      </c>
      <c r="F926" s="20" t="inlineStr">
        <is>
          <t>Granola</t>
        </is>
      </c>
      <c r="G926" s="22" t="n">
        <v>1022</v>
      </c>
      <c r="H926" s="23" t="n">
        <v>43.05</v>
      </c>
      <c r="I926" s="23" t="n">
        <v>43997.1</v>
      </c>
      <c r="J926" s="23" t="n">
        <v>27542.9</v>
      </c>
      <c r="K926">
        <f>IF(OR(COUNTIF($A$5:A926,A926)&gt;1,G926&lt;0,C926="",B926&lt;'Work 1'!$C$6,B926&gt;'Work 1'!$C$7,H926&gt;'Work 1'!$C$8*AVERAGEIF($F$5:$F$1014,F926,$H$5:$H$1014)),"Excl",IF(B926&gt;='Work 1'!$C$5,"LTM","Prior"))</f>
        <v/>
      </c>
      <c r="L926">
        <f>I926-J926</f>
        <v/>
      </c>
    </row>
    <row r="927" ht="14.25" customHeight="1" s="54">
      <c r="A927" s="20" t="inlineStr">
        <is>
          <t>BH-40918</t>
        </is>
      </c>
      <c r="B927" s="21" t="n">
        <v>46113</v>
      </c>
      <c r="C927" s="20" t="inlineStr">
        <is>
          <t>C16</t>
        </is>
      </c>
      <c r="D927" s="20" t="inlineStr">
        <is>
          <t>Bay Street Market</t>
        </is>
      </c>
      <c r="E927" s="20" t="inlineStr">
        <is>
          <t>Grocery</t>
        </is>
      </c>
      <c r="F927" s="20" t="inlineStr">
        <is>
          <t>Nut Butter</t>
        </is>
      </c>
      <c r="G927" s="22" t="n">
        <v>606</v>
      </c>
      <c r="H927" s="23" t="n">
        <v>57.25</v>
      </c>
      <c r="I927" s="23" t="n">
        <v>34693.5</v>
      </c>
      <c r="J927" s="23" t="n">
        <v>23937</v>
      </c>
      <c r="K927">
        <f>IF(OR(COUNTIF($A$5:A927,A927)&gt;1,G927&lt;0,C927="",B927&lt;'Work 1'!$C$6,B927&gt;'Work 1'!$C$7,H927&gt;'Work 1'!$C$8*AVERAGEIF($F$5:$F$1014,F927,$H$5:$H$1014)),"Excl",IF(B927&gt;='Work 1'!$C$5,"LTM","Prior"))</f>
        <v/>
      </c>
      <c r="L927">
        <f>I927-J927</f>
        <v/>
      </c>
    </row>
    <row r="928" ht="14.25" customHeight="1" s="54">
      <c r="A928" s="20" t="inlineStr">
        <is>
          <t>BH-40919</t>
        </is>
      </c>
      <c r="B928" s="21" t="n">
        <v>46113</v>
      </c>
      <c r="C928" s="20" t="inlineStr">
        <is>
          <t>C19</t>
        </is>
      </c>
      <c r="D928" s="20" t="inlineStr">
        <is>
          <t>Greenway Markets</t>
        </is>
      </c>
      <c r="E928" s="20" t="inlineStr">
        <is>
          <t>Grocery</t>
        </is>
      </c>
      <c r="F928" s="20" t="inlineStr">
        <is>
          <t>Granola</t>
        </is>
      </c>
      <c r="G928" s="22" t="n">
        <v>1543</v>
      </c>
      <c r="H928" s="23" t="n">
        <v>43.05</v>
      </c>
      <c r="I928" s="23" t="n">
        <v>66426.14999999999</v>
      </c>
      <c r="J928" s="23" t="n">
        <v>41583.85</v>
      </c>
      <c r="K928">
        <f>IF(OR(COUNTIF($A$5:A928,A928)&gt;1,G928&lt;0,C928="",B928&lt;'Work 1'!$C$6,B928&gt;'Work 1'!$C$7,H928&gt;'Work 1'!$C$8*AVERAGEIF($F$5:$F$1014,F928,$H$5:$H$1014)),"Excl",IF(B928&gt;='Work 1'!$C$5,"LTM","Prior"))</f>
        <v/>
      </c>
      <c r="L928">
        <f>I928-J928</f>
        <v/>
      </c>
    </row>
    <row r="929" ht="14.25" customHeight="1" s="54">
      <c r="A929" s="20" t="inlineStr">
        <is>
          <t>BH-40920</t>
        </is>
      </c>
      <c r="B929" s="21" t="n">
        <v>46113</v>
      </c>
      <c r="C929" s="20" t="inlineStr">
        <is>
          <t>C19</t>
        </is>
      </c>
      <c r="D929" s="20" t="inlineStr">
        <is>
          <t>Greenway Markets</t>
        </is>
      </c>
      <c r="E929" s="20" t="inlineStr">
        <is>
          <t>Grocery</t>
        </is>
      </c>
      <c r="F929" s="20" t="inlineStr">
        <is>
          <t>Nut Butter</t>
        </is>
      </c>
      <c r="G929" s="22" t="n">
        <v>736</v>
      </c>
      <c r="H929" s="23" t="n">
        <v>57.25</v>
      </c>
      <c r="I929" s="23" t="n">
        <v>42136</v>
      </c>
      <c r="J929" s="23" t="n">
        <v>29072</v>
      </c>
      <c r="K929">
        <f>IF(OR(COUNTIF($A$5:A929,A929)&gt;1,G929&lt;0,C929="",B929&lt;'Work 1'!$C$6,B929&gt;'Work 1'!$C$7,H929&gt;'Work 1'!$C$8*AVERAGEIF($F$5:$F$1014,F929,$H$5:$H$1014)),"Excl",IF(B929&gt;='Work 1'!$C$5,"LTM","Prior"))</f>
        <v/>
      </c>
      <c r="L929">
        <f>I929-J929</f>
        <v/>
      </c>
    </row>
    <row r="930" ht="14.25" customHeight="1" s="54">
      <c r="A930" s="20" t="inlineStr">
        <is>
          <t>BH-40921</t>
        </is>
      </c>
      <c r="B930" s="21" t="n">
        <v>46113</v>
      </c>
      <c r="C930" s="20" t="inlineStr">
        <is>
          <t>C19</t>
        </is>
      </c>
      <c r="D930" s="20" t="inlineStr">
        <is>
          <t>Greenway Markets</t>
        </is>
      </c>
      <c r="E930" s="20" t="inlineStr">
        <is>
          <t>Grocery</t>
        </is>
      </c>
      <c r="F930" s="20" t="inlineStr">
        <is>
          <t>Snack Bars</t>
        </is>
      </c>
      <c r="G930" s="22" t="n">
        <v>756</v>
      </c>
      <c r="H930" s="23" t="n">
        <v>33.35</v>
      </c>
      <c r="I930" s="23" t="n">
        <v>25212.6</v>
      </c>
      <c r="J930" s="23" t="n">
        <v>15460.2</v>
      </c>
      <c r="K930">
        <f>IF(OR(COUNTIF($A$5:A930,A930)&gt;1,G930&lt;0,C930="",B930&lt;'Work 1'!$C$6,B930&gt;'Work 1'!$C$7,H930&gt;'Work 1'!$C$8*AVERAGEIF($F$5:$F$1014,F930,$H$5:$H$1014)),"Excl",IF(B930&gt;='Work 1'!$C$5,"LTM","Prior"))</f>
        <v/>
      </c>
      <c r="L930">
        <f>I930-J930</f>
        <v/>
      </c>
    </row>
    <row r="931" ht="14.25" customHeight="1" s="54">
      <c r="A931" s="20" t="inlineStr">
        <is>
          <t>BH-40922</t>
        </is>
      </c>
      <c r="B931" s="21" t="n">
        <v>46143</v>
      </c>
      <c r="C931" s="20" t="inlineStr">
        <is>
          <t>C01</t>
        </is>
      </c>
      <c r="D931" s="20" t="inlineStr">
        <is>
          <t>Northfield Markets</t>
        </is>
      </c>
      <c r="E931" s="20" t="inlineStr">
        <is>
          <t>Grocery</t>
        </is>
      </c>
      <c r="F931" s="20" t="inlineStr">
        <is>
          <t>Granola</t>
        </is>
      </c>
      <c r="G931" s="22" t="n">
        <v>16310</v>
      </c>
      <c r="H931" s="23" t="n">
        <v>39.61</v>
      </c>
      <c r="I931" s="23" t="n">
        <v>646039.1</v>
      </c>
      <c r="J931" s="23" t="n">
        <v>439554.5</v>
      </c>
      <c r="K931">
        <f>IF(OR(COUNTIF($A$5:A931,A931)&gt;1,G931&lt;0,C931="",B931&lt;'Work 1'!$C$6,B931&gt;'Work 1'!$C$7,H931&gt;'Work 1'!$C$8*AVERAGEIF($F$5:$F$1014,F931,$H$5:$H$1014)),"Excl",IF(B931&gt;='Work 1'!$C$5,"LTM","Prior"))</f>
        <v/>
      </c>
      <c r="L931">
        <f>I931-J931</f>
        <v/>
      </c>
    </row>
    <row r="932" ht="14.25" customHeight="1" s="54">
      <c r="A932" s="20" t="inlineStr">
        <is>
          <t>BH-40923</t>
        </is>
      </c>
      <c r="B932" s="21" t="n">
        <v>46143</v>
      </c>
      <c r="C932" s="20" t="inlineStr">
        <is>
          <t>C01</t>
        </is>
      </c>
      <c r="D932" s="20" t="inlineStr">
        <is>
          <t>Northfield Markets</t>
        </is>
      </c>
      <c r="E932" s="20" t="inlineStr">
        <is>
          <t>Grocery</t>
        </is>
      </c>
      <c r="F932" s="20" t="inlineStr">
        <is>
          <t>Nut Butter</t>
        </is>
      </c>
      <c r="G932" s="22" t="n">
        <v>8065</v>
      </c>
      <c r="H932" s="23" t="n">
        <v>52.67</v>
      </c>
      <c r="I932" s="23" t="n">
        <v>424783.55</v>
      </c>
      <c r="J932" s="23" t="n">
        <v>318567.5</v>
      </c>
      <c r="K932">
        <f>IF(OR(COUNTIF($A$5:A932,A932)&gt;1,G932&lt;0,C932="",B932&lt;'Work 1'!$C$6,B932&gt;'Work 1'!$C$7,H932&gt;'Work 1'!$C$8*AVERAGEIF($F$5:$F$1014,F932,$H$5:$H$1014)),"Excl",IF(B932&gt;='Work 1'!$C$5,"LTM","Prior"))</f>
        <v/>
      </c>
      <c r="L932">
        <f>I932-J932</f>
        <v/>
      </c>
    </row>
    <row r="933" ht="14.25" customHeight="1" s="54">
      <c r="A933" s="20" t="inlineStr">
        <is>
          <t>BH-40924</t>
        </is>
      </c>
      <c r="B933" s="21" t="n">
        <v>46143</v>
      </c>
      <c r="C933" s="20" t="inlineStr">
        <is>
          <t>C01</t>
        </is>
      </c>
      <c r="D933" s="20" t="inlineStr">
        <is>
          <t>Northfield Markets</t>
        </is>
      </c>
      <c r="E933" s="20" t="inlineStr">
        <is>
          <t>Grocery</t>
        </is>
      </c>
      <c r="F933" s="20" t="inlineStr">
        <is>
          <t>Snack Bars</t>
        </is>
      </c>
      <c r="G933" s="22" t="n">
        <v>11424</v>
      </c>
      <c r="H933" s="23" t="n">
        <v>30.68</v>
      </c>
      <c r="I933" s="23" t="n">
        <v>350488.32</v>
      </c>
      <c r="J933" s="23" t="n">
        <v>233620.8</v>
      </c>
      <c r="K933">
        <f>IF(OR(COUNTIF($A$5:A933,A933)&gt;1,G933&lt;0,C933="",B933&lt;'Work 1'!$C$6,B933&gt;'Work 1'!$C$7,H933&gt;'Work 1'!$C$8*AVERAGEIF($F$5:$F$1014,F933,$H$5:$H$1014)),"Excl",IF(B933&gt;='Work 1'!$C$5,"LTM","Prior"))</f>
        <v/>
      </c>
      <c r="L933">
        <f>I933-J933</f>
        <v/>
      </c>
    </row>
    <row r="934" ht="14.25" customHeight="1" s="54">
      <c r="A934" s="20" t="inlineStr">
        <is>
          <t>BH-40925</t>
        </is>
      </c>
      <c r="B934" s="21" t="n">
        <v>46143</v>
      </c>
      <c r="C934" s="20" t="inlineStr">
        <is>
          <t>C02</t>
        </is>
      </c>
      <c r="D934" s="20" t="inlineStr">
        <is>
          <t>Crestline Grocers</t>
        </is>
      </c>
      <c r="E934" s="20" t="inlineStr">
        <is>
          <t>Grocery</t>
        </is>
      </c>
      <c r="F934" s="20" t="inlineStr">
        <is>
          <t>Granola</t>
        </is>
      </c>
      <c r="G934" s="22" t="n">
        <v>3931</v>
      </c>
      <c r="H934" s="23" t="n">
        <v>41.76</v>
      </c>
      <c r="I934" s="23" t="n">
        <v>164158.56</v>
      </c>
      <c r="J934" s="23" t="n">
        <v>105940.45</v>
      </c>
      <c r="K934">
        <f>IF(OR(COUNTIF($A$5:A934,A934)&gt;1,G934&lt;0,C934="",B934&lt;'Work 1'!$C$6,B934&gt;'Work 1'!$C$7,H934&gt;'Work 1'!$C$8*AVERAGEIF($F$5:$F$1014,F934,$H$5:$H$1014)),"Excl",IF(B934&gt;='Work 1'!$C$5,"LTM","Prior"))</f>
        <v/>
      </c>
      <c r="L934">
        <f>I934-J934</f>
        <v/>
      </c>
    </row>
    <row r="935" ht="14.25" customHeight="1" s="54">
      <c r="A935" s="20" t="inlineStr">
        <is>
          <t>BH-40926</t>
        </is>
      </c>
      <c r="B935" s="21" t="n">
        <v>46143</v>
      </c>
      <c r="C935" s="20" t="inlineStr">
        <is>
          <t>C02</t>
        </is>
      </c>
      <c r="D935" s="20" t="inlineStr">
        <is>
          <t>Crestline Grocers</t>
        </is>
      </c>
      <c r="E935" s="20" t="inlineStr">
        <is>
          <t>Grocery</t>
        </is>
      </c>
      <c r="F935" s="20" t="inlineStr">
        <is>
          <t>Nut Butter</t>
        </is>
      </c>
      <c r="G935" s="22" t="n">
        <v>2058</v>
      </c>
      <c r="H935" s="23" t="n">
        <v>55.53</v>
      </c>
      <c r="I935" s="23" t="n">
        <v>114280.74</v>
      </c>
      <c r="J935" s="23" t="n">
        <v>81291</v>
      </c>
      <c r="K935">
        <f>IF(OR(COUNTIF($A$5:A935,A935)&gt;1,G935&lt;0,C935="",B935&lt;'Work 1'!$C$6,B935&gt;'Work 1'!$C$7,H935&gt;'Work 1'!$C$8*AVERAGEIF($F$5:$F$1014,F935,$H$5:$H$1014)),"Excl",IF(B935&gt;='Work 1'!$C$5,"LTM","Prior"))</f>
        <v/>
      </c>
      <c r="L935">
        <f>I935-J935</f>
        <v/>
      </c>
    </row>
    <row r="936" ht="14.25" customHeight="1" s="54">
      <c r="A936" s="20" t="inlineStr">
        <is>
          <t>BH-40927</t>
        </is>
      </c>
      <c r="B936" s="21" t="n">
        <v>46143</v>
      </c>
      <c r="C936" s="20" t="inlineStr">
        <is>
          <t>C02</t>
        </is>
      </c>
      <c r="D936" s="20" t="inlineStr">
        <is>
          <t>Crestline Grocers</t>
        </is>
      </c>
      <c r="E936" s="20" t="inlineStr">
        <is>
          <t>Grocery</t>
        </is>
      </c>
      <c r="F936" s="20" t="inlineStr">
        <is>
          <t>Snack Bars</t>
        </is>
      </c>
      <c r="G936" s="22" t="n">
        <v>3421</v>
      </c>
      <c r="H936" s="23" t="n">
        <v>32.35</v>
      </c>
      <c r="I936" s="23" t="n">
        <v>110669.35</v>
      </c>
      <c r="J936" s="23" t="n">
        <v>69959.45</v>
      </c>
      <c r="K936">
        <f>IF(OR(COUNTIF($A$5:A936,A936)&gt;1,G936&lt;0,C936="",B936&lt;'Work 1'!$C$6,B936&gt;'Work 1'!$C$7,H936&gt;'Work 1'!$C$8*AVERAGEIF($F$5:$F$1014,F936,$H$5:$H$1014)),"Excl",IF(B936&gt;='Work 1'!$C$5,"LTM","Prior"))</f>
        <v/>
      </c>
      <c r="L936">
        <f>I936-J936</f>
        <v/>
      </c>
    </row>
    <row r="937" ht="14.25" customHeight="1" s="54">
      <c r="A937" s="20" t="inlineStr">
        <is>
          <t>BH-40928</t>
        </is>
      </c>
      <c r="B937" s="21" t="n">
        <v>46143</v>
      </c>
      <c r="C937" s="20" t="inlineStr">
        <is>
          <t>C03</t>
        </is>
      </c>
      <c r="D937" s="20" t="inlineStr">
        <is>
          <t>ValuClub Warehouse</t>
        </is>
      </c>
      <c r="E937" s="20" t="inlineStr">
        <is>
          <t>Club</t>
        </is>
      </c>
      <c r="F937" s="20" t="inlineStr">
        <is>
          <t>Granola</t>
        </is>
      </c>
      <c r="G937" s="22" t="n">
        <v>12986</v>
      </c>
      <c r="H937" s="23" t="n">
        <v>36.6</v>
      </c>
      <c r="I937" s="23" t="n">
        <v>475287.6</v>
      </c>
      <c r="J937" s="23" t="n">
        <v>349972.7</v>
      </c>
      <c r="K937">
        <f>IF(OR(COUNTIF($A$5:A937,A937)&gt;1,G937&lt;0,C937="",B937&lt;'Work 1'!$C$6,B937&gt;'Work 1'!$C$7,H937&gt;'Work 1'!$C$8*AVERAGEIF($F$5:$F$1014,F937,$H$5:$H$1014)),"Excl",IF(B937&gt;='Work 1'!$C$5,"LTM","Prior"))</f>
        <v/>
      </c>
      <c r="L937">
        <f>I937-J937</f>
        <v/>
      </c>
    </row>
    <row r="938" ht="14.25" customHeight="1" s="54">
      <c r="A938" s="20" t="inlineStr">
        <is>
          <t>BH-40929</t>
        </is>
      </c>
      <c r="B938" s="21" t="n">
        <v>46143</v>
      </c>
      <c r="C938" s="20" t="inlineStr">
        <is>
          <t>C03</t>
        </is>
      </c>
      <c r="D938" s="20" t="inlineStr">
        <is>
          <t>ValuClub Warehouse</t>
        </is>
      </c>
      <c r="E938" s="20" t="inlineStr">
        <is>
          <t>Club</t>
        </is>
      </c>
      <c r="F938" s="20" t="inlineStr">
        <is>
          <t>Snack Bars</t>
        </is>
      </c>
      <c r="G938" s="22" t="n">
        <v>13879</v>
      </c>
      <c r="H938" s="23" t="n">
        <v>25.35</v>
      </c>
      <c r="I938" s="23" t="n">
        <v>351832.65</v>
      </c>
      <c r="J938" s="23" t="n">
        <v>283825.55</v>
      </c>
      <c r="K938">
        <f>IF(OR(COUNTIF($A$5:A938,A938)&gt;1,G938&lt;0,C938="",B938&lt;'Work 1'!$C$6,B938&gt;'Work 1'!$C$7,H938&gt;'Work 1'!$C$8*AVERAGEIF($F$5:$F$1014,F938,$H$5:$H$1014)),"Excl",IF(B938&gt;='Work 1'!$C$5,"LTM","Prior"))</f>
        <v/>
      </c>
      <c r="L938">
        <f>I938-J938</f>
        <v/>
      </c>
    </row>
    <row r="939" ht="14.25" customHeight="1" s="54">
      <c r="A939" s="20" t="inlineStr">
        <is>
          <t>BH-40930</t>
        </is>
      </c>
      <c r="B939" s="21" t="n">
        <v>46143</v>
      </c>
      <c r="C939" s="20" t="inlineStr">
        <is>
          <t>C04</t>
        </is>
      </c>
      <c r="D939" s="20" t="inlineStr">
        <is>
          <t>Harvest Lane Co-op</t>
        </is>
      </c>
      <c r="E939" s="20" t="inlineStr">
        <is>
          <t>Grocery</t>
        </is>
      </c>
      <c r="F939" s="20" t="inlineStr">
        <is>
          <t>Granola</t>
        </is>
      </c>
      <c r="G939" s="22" t="n">
        <v>2910</v>
      </c>
      <c r="H939" s="23" t="n">
        <v>43.05</v>
      </c>
      <c r="I939" s="23" t="n">
        <v>125275.5</v>
      </c>
      <c r="J939" s="23" t="n">
        <v>78424.5</v>
      </c>
      <c r="K939">
        <f>IF(OR(COUNTIF($A$5:A939,A939)&gt;1,G939&lt;0,C939="",B939&lt;'Work 1'!$C$6,B939&gt;'Work 1'!$C$7,H939&gt;'Work 1'!$C$8*AVERAGEIF($F$5:$F$1014,F939,$H$5:$H$1014)),"Excl",IF(B939&gt;='Work 1'!$C$5,"LTM","Prior"))</f>
        <v/>
      </c>
      <c r="L939">
        <f>I939-J939</f>
        <v/>
      </c>
    </row>
    <row r="940" ht="14.25" customHeight="1" s="54">
      <c r="A940" s="20" t="inlineStr">
        <is>
          <t>BH-40931</t>
        </is>
      </c>
      <c r="B940" s="21" t="n">
        <v>46143</v>
      </c>
      <c r="C940" s="20" t="inlineStr">
        <is>
          <t>C04</t>
        </is>
      </c>
      <c r="D940" s="20" t="inlineStr">
        <is>
          <t>Harvest Lane Co-op</t>
        </is>
      </c>
      <c r="E940" s="20" t="inlineStr">
        <is>
          <t>Grocery</t>
        </is>
      </c>
      <c r="F940" s="20" t="inlineStr">
        <is>
          <t>Nut Butter</t>
        </is>
      </c>
      <c r="G940" s="22" t="n">
        <v>1482</v>
      </c>
      <c r="H940" s="23" t="n">
        <v>57.25</v>
      </c>
      <c r="I940" s="23" t="n">
        <v>84844.5</v>
      </c>
      <c r="J940" s="23" t="n">
        <v>58539</v>
      </c>
      <c r="K940">
        <f>IF(OR(COUNTIF($A$5:A940,A940)&gt;1,G940&lt;0,C940="",B940&lt;'Work 1'!$C$6,B940&gt;'Work 1'!$C$7,H940&gt;'Work 1'!$C$8*AVERAGEIF($F$5:$F$1014,F940,$H$5:$H$1014)),"Excl",IF(B940&gt;='Work 1'!$C$5,"LTM","Prior"))</f>
        <v/>
      </c>
      <c r="L940">
        <f>I940-J940</f>
        <v/>
      </c>
    </row>
    <row r="941" ht="14.25" customHeight="1" s="54">
      <c r="A941" s="20" t="inlineStr">
        <is>
          <t>BH-40932</t>
        </is>
      </c>
      <c r="B941" s="21" t="n">
        <v>46143</v>
      </c>
      <c r="C941" s="20" t="inlineStr">
        <is>
          <t>C04</t>
        </is>
      </c>
      <c r="D941" s="20" t="inlineStr">
        <is>
          <t>Harvest Lane Co-op</t>
        </is>
      </c>
      <c r="E941" s="20" t="inlineStr">
        <is>
          <t>Grocery</t>
        </is>
      </c>
      <c r="F941" s="20" t="inlineStr">
        <is>
          <t>Snack Bars</t>
        </is>
      </c>
      <c r="G941" s="22" t="n">
        <v>1842</v>
      </c>
      <c r="H941" s="23" t="n">
        <v>33.35</v>
      </c>
      <c r="I941" s="23" t="n">
        <v>61430.7</v>
      </c>
      <c r="J941" s="23" t="n">
        <v>37668.9</v>
      </c>
      <c r="K941">
        <f>IF(OR(COUNTIF($A$5:A941,A941)&gt;1,G941&lt;0,C941="",B941&lt;'Work 1'!$C$6,B941&gt;'Work 1'!$C$7,H941&gt;'Work 1'!$C$8*AVERAGEIF($F$5:$F$1014,F941,$H$5:$H$1014)),"Excl",IF(B941&gt;='Work 1'!$C$5,"LTM","Prior"))</f>
        <v/>
      </c>
      <c r="L941">
        <f>I941-J941</f>
        <v/>
      </c>
    </row>
    <row r="942" ht="14.25" customHeight="1" s="54">
      <c r="A942" s="20" t="inlineStr">
        <is>
          <t>BH-40933</t>
        </is>
      </c>
      <c r="B942" s="21" t="n">
        <v>46143</v>
      </c>
      <c r="C942" s="20" t="inlineStr">
        <is>
          <t>C05</t>
        </is>
      </c>
      <c r="D942" s="20" t="inlineStr">
        <is>
          <t>Pioneer Foods Distribution</t>
        </is>
      </c>
      <c r="E942" s="20" t="inlineStr">
        <is>
          <t>Grocery</t>
        </is>
      </c>
      <c r="F942" s="20" t="inlineStr">
        <is>
          <t>Granola</t>
        </is>
      </c>
      <c r="G942" s="22" t="n">
        <v>3258</v>
      </c>
      <c r="H942" s="23" t="n">
        <v>38.74</v>
      </c>
      <c r="I942" s="23" t="n">
        <v>126214.92</v>
      </c>
      <c r="J942" s="23" t="n">
        <v>87803.10000000001</v>
      </c>
      <c r="K942">
        <f>IF(OR(COUNTIF($A$5:A942,A942)&gt;1,G942&lt;0,C942="",B942&lt;'Work 1'!$C$6,B942&gt;'Work 1'!$C$7,H942&gt;'Work 1'!$C$8*AVERAGEIF($F$5:$F$1014,F942,$H$5:$H$1014)),"Excl",IF(B942&gt;='Work 1'!$C$5,"LTM","Prior"))</f>
        <v/>
      </c>
      <c r="L942">
        <f>I942-J942</f>
        <v/>
      </c>
    </row>
    <row r="943" ht="14.25" customHeight="1" s="54">
      <c r="A943" s="20" t="inlineStr">
        <is>
          <t>BH-40934</t>
        </is>
      </c>
      <c r="B943" s="21" t="n">
        <v>46143</v>
      </c>
      <c r="C943" s="20" t="inlineStr">
        <is>
          <t>C05</t>
        </is>
      </c>
      <c r="D943" s="20" t="inlineStr">
        <is>
          <t>Pioneer Foods Distribution</t>
        </is>
      </c>
      <c r="E943" s="20" t="inlineStr">
        <is>
          <t>Grocery</t>
        </is>
      </c>
      <c r="F943" s="20" t="inlineStr">
        <is>
          <t>Nut Butter</t>
        </is>
      </c>
      <c r="G943" s="22" t="n">
        <v>1752</v>
      </c>
      <c r="H943" s="23" t="n">
        <v>51.52</v>
      </c>
      <c r="I943" s="23" t="n">
        <v>90263.03999999999</v>
      </c>
      <c r="J943" s="23" t="n">
        <v>69204</v>
      </c>
      <c r="K943">
        <f>IF(OR(COUNTIF($A$5:A943,A943)&gt;1,G943&lt;0,C943="",B943&lt;'Work 1'!$C$6,B943&gt;'Work 1'!$C$7,H943&gt;'Work 1'!$C$8*AVERAGEIF($F$5:$F$1014,F943,$H$5:$H$1014)),"Excl",IF(B943&gt;='Work 1'!$C$5,"LTM","Prior"))</f>
        <v/>
      </c>
      <c r="L943">
        <f>I943-J943</f>
        <v/>
      </c>
    </row>
    <row r="944" ht="14.25" customHeight="1" s="54">
      <c r="A944" s="20" t="inlineStr">
        <is>
          <t>BH-40935</t>
        </is>
      </c>
      <c r="B944" s="21" t="n">
        <v>46143</v>
      </c>
      <c r="C944" s="20" t="inlineStr">
        <is>
          <t>C05</t>
        </is>
      </c>
      <c r="D944" s="20" t="inlineStr">
        <is>
          <t>Pioneer Foods Distribution</t>
        </is>
      </c>
      <c r="E944" s="20" t="inlineStr">
        <is>
          <t>Grocery</t>
        </is>
      </c>
      <c r="F944" s="20" t="inlineStr">
        <is>
          <t>Snack Bars</t>
        </is>
      </c>
      <c r="G944" s="22" t="n">
        <v>2935</v>
      </c>
      <c r="H944" s="23" t="n">
        <v>30.02</v>
      </c>
      <c r="I944" s="23" t="n">
        <v>88108.7</v>
      </c>
      <c r="J944" s="23" t="n">
        <v>60020.75</v>
      </c>
      <c r="K944">
        <f>IF(OR(COUNTIF($A$5:A944,A944)&gt;1,G944&lt;0,C944="",B944&lt;'Work 1'!$C$6,B944&gt;'Work 1'!$C$7,H944&gt;'Work 1'!$C$8*AVERAGEIF($F$5:$F$1014,F944,$H$5:$H$1014)),"Excl",IF(B944&gt;='Work 1'!$C$5,"LTM","Prior"))</f>
        <v/>
      </c>
      <c r="L944">
        <f>I944-J944</f>
        <v/>
      </c>
    </row>
    <row r="945" ht="14.25" customHeight="1" s="54">
      <c r="A945" s="20" t="inlineStr">
        <is>
          <t>BH-40936</t>
        </is>
      </c>
      <c r="B945" s="21" t="n">
        <v>46143</v>
      </c>
      <c r="C945" s="20" t="inlineStr">
        <is>
          <t>C06</t>
        </is>
      </c>
      <c r="D945" s="20" t="inlineStr">
        <is>
          <t>Summit Club Stores</t>
        </is>
      </c>
      <c r="E945" s="20" t="inlineStr">
        <is>
          <t>Club</t>
        </is>
      </c>
      <c r="F945" s="20" t="inlineStr">
        <is>
          <t>Granola</t>
        </is>
      </c>
      <c r="G945" s="22" t="n">
        <v>5059</v>
      </c>
      <c r="H945" s="23" t="n">
        <v>36.6</v>
      </c>
      <c r="I945" s="23" t="n">
        <v>185159.4</v>
      </c>
      <c r="J945" s="23" t="n">
        <v>136340.05</v>
      </c>
      <c r="K945">
        <f>IF(OR(COUNTIF($A$5:A945,A945)&gt;1,G945&lt;0,C945="",B945&lt;'Work 1'!$C$6,B945&gt;'Work 1'!$C$7,H945&gt;'Work 1'!$C$8*AVERAGEIF($F$5:$F$1014,F945,$H$5:$H$1014)),"Excl",IF(B945&gt;='Work 1'!$C$5,"LTM","Prior"))</f>
        <v/>
      </c>
      <c r="L945">
        <f>I945-J945</f>
        <v/>
      </c>
    </row>
    <row r="946" ht="14.25" customHeight="1" s="54">
      <c r="A946" s="20" t="inlineStr">
        <is>
          <t>BH-40937</t>
        </is>
      </c>
      <c r="B946" s="21" t="n">
        <v>46143</v>
      </c>
      <c r="C946" s="20" t="inlineStr">
        <is>
          <t>C06</t>
        </is>
      </c>
      <c r="D946" s="20" t="inlineStr">
        <is>
          <t>Summit Club Stores</t>
        </is>
      </c>
      <c r="E946" s="20" t="inlineStr">
        <is>
          <t>Club</t>
        </is>
      </c>
      <c r="F946" s="20" t="inlineStr">
        <is>
          <t>Nut Butter</t>
        </is>
      </c>
      <c r="G946" s="22" t="n">
        <v>2789</v>
      </c>
      <c r="H946" s="23" t="n">
        <v>48.75</v>
      </c>
      <c r="I946" s="23" t="n">
        <v>135963.75</v>
      </c>
      <c r="J946" s="23" t="n">
        <v>110165.5</v>
      </c>
      <c r="K946">
        <f>IF(OR(COUNTIF($A$5:A946,A946)&gt;1,G946&lt;0,C946="",B946&lt;'Work 1'!$C$6,B946&gt;'Work 1'!$C$7,H946&gt;'Work 1'!$C$8*AVERAGEIF($F$5:$F$1014,F946,$H$5:$H$1014)),"Excl",IF(B946&gt;='Work 1'!$C$5,"LTM","Prior"))</f>
        <v/>
      </c>
      <c r="L946">
        <f>I946-J946</f>
        <v/>
      </c>
    </row>
    <row r="947" ht="14.25" customHeight="1" s="54">
      <c r="A947" s="20" t="inlineStr">
        <is>
          <t>BH-40938</t>
        </is>
      </c>
      <c r="B947" s="21" t="n">
        <v>46143</v>
      </c>
      <c r="C947" s="20" t="inlineStr">
        <is>
          <t>C07</t>
        </is>
      </c>
      <c r="D947" s="20" t="inlineStr">
        <is>
          <t>Bramble Hill Online Store</t>
        </is>
      </c>
      <c r="E947" s="20" t="inlineStr">
        <is>
          <t>Online</t>
        </is>
      </c>
      <c r="F947" s="20" t="inlineStr">
        <is>
          <t>Granola</t>
        </is>
      </c>
      <c r="G947" s="22" t="n">
        <v>3599</v>
      </c>
      <c r="H947" s="23" t="n">
        <v>49.4</v>
      </c>
      <c r="I947" s="23" t="n">
        <v>177790.6</v>
      </c>
      <c r="J947" s="23" t="n">
        <v>96993.05</v>
      </c>
      <c r="K947">
        <f>IF(OR(COUNTIF($A$5:A947,A947)&gt;1,G947&lt;0,C947="",B947&lt;'Work 1'!$C$6,B947&gt;'Work 1'!$C$7,H947&gt;'Work 1'!$C$8*AVERAGEIF($F$5:$F$1014,F947,$H$5:$H$1014)),"Excl",IF(B947&gt;='Work 1'!$C$5,"LTM","Prior"))</f>
        <v/>
      </c>
      <c r="L947">
        <f>I947-J947</f>
        <v/>
      </c>
    </row>
    <row r="948" ht="14.25" customHeight="1" s="54">
      <c r="A948" s="20" t="inlineStr">
        <is>
          <t>BH-40939</t>
        </is>
      </c>
      <c r="B948" s="21" t="n">
        <v>46143</v>
      </c>
      <c r="C948" s="20" t="inlineStr">
        <is>
          <t>C07</t>
        </is>
      </c>
      <c r="D948" s="20" t="inlineStr">
        <is>
          <t>Bramble Hill Online Store</t>
        </is>
      </c>
      <c r="E948" s="20" t="inlineStr">
        <is>
          <t>Online</t>
        </is>
      </c>
      <c r="F948" s="20" t="inlineStr">
        <is>
          <t>Nut Butter</t>
        </is>
      </c>
      <c r="G948" s="22" t="n">
        <v>2056</v>
      </c>
      <c r="H948" s="23" t="n">
        <v>64.40000000000001</v>
      </c>
      <c r="I948" s="23" t="n">
        <v>132406.4</v>
      </c>
      <c r="J948" s="23" t="n">
        <v>81212</v>
      </c>
      <c r="K948">
        <f>IF(OR(COUNTIF($A$5:A948,A948)&gt;1,G948&lt;0,C948="",B948&lt;'Work 1'!$C$6,B948&gt;'Work 1'!$C$7,H948&gt;'Work 1'!$C$8*AVERAGEIF($F$5:$F$1014,F948,$H$5:$H$1014)),"Excl",IF(B948&gt;='Work 1'!$C$5,"LTM","Prior"))</f>
        <v/>
      </c>
      <c r="L948">
        <f>I948-J948</f>
        <v/>
      </c>
    </row>
    <row r="949" ht="14.25" customHeight="1" s="54">
      <c r="A949" s="20" t="inlineStr">
        <is>
          <t>BH-40940</t>
        </is>
      </c>
      <c r="B949" s="21" t="n">
        <v>46143</v>
      </c>
      <c r="C949" s="20" t="inlineStr">
        <is>
          <t>C07</t>
        </is>
      </c>
      <c r="D949" s="20" t="inlineStr">
        <is>
          <t>Bramble Hill Online Store</t>
        </is>
      </c>
      <c r="E949" s="20" t="inlineStr">
        <is>
          <t>Online</t>
        </is>
      </c>
      <c r="F949" s="20" t="inlineStr">
        <is>
          <t>Snack Bars</t>
        </is>
      </c>
      <c r="G949" s="22" t="n">
        <v>2503</v>
      </c>
      <c r="H949" s="23" t="n">
        <v>39.3</v>
      </c>
      <c r="I949" s="23" t="n">
        <v>98367.89999999999</v>
      </c>
      <c r="J949" s="23" t="n">
        <v>51186.35</v>
      </c>
      <c r="K949">
        <f>IF(OR(COUNTIF($A$5:A949,A949)&gt;1,G949&lt;0,C949="",B949&lt;'Work 1'!$C$6,B949&gt;'Work 1'!$C$7,H949&gt;'Work 1'!$C$8*AVERAGEIF($F$5:$F$1014,F949,$H$5:$H$1014)),"Excl",IF(B949&gt;='Work 1'!$C$5,"LTM","Prior"))</f>
        <v/>
      </c>
      <c r="L949">
        <f>I949-J949</f>
        <v/>
      </c>
    </row>
    <row r="950" ht="14.25" customHeight="1" s="54">
      <c r="A950" s="20" t="inlineStr">
        <is>
          <t>BH-40941</t>
        </is>
      </c>
      <c r="B950" s="21" t="n">
        <v>46143</v>
      </c>
      <c r="C950" s="20" t="inlineStr">
        <is>
          <t>C08</t>
        </is>
      </c>
      <c r="D950" s="20" t="inlineStr">
        <is>
          <t>Online Marketplace</t>
        </is>
      </c>
      <c r="E950" s="20" t="inlineStr">
        <is>
          <t>Online</t>
        </is>
      </c>
      <c r="F950" s="20" t="inlineStr">
        <is>
          <t>Granola</t>
        </is>
      </c>
      <c r="G950" s="22" t="n">
        <v>4008</v>
      </c>
      <c r="H950" s="23" t="n">
        <v>43.47</v>
      </c>
      <c r="I950" s="23" t="n">
        <v>174227.76</v>
      </c>
      <c r="J950" s="23" t="n">
        <v>108015.6</v>
      </c>
      <c r="K950">
        <f>IF(OR(COUNTIF($A$5:A950,A950)&gt;1,G950&lt;0,C950="",B950&lt;'Work 1'!$C$6,B950&gt;'Work 1'!$C$7,H950&gt;'Work 1'!$C$8*AVERAGEIF($F$5:$F$1014,F950,$H$5:$H$1014)),"Excl",IF(B950&gt;='Work 1'!$C$5,"LTM","Prior"))</f>
        <v/>
      </c>
      <c r="L950">
        <f>I950-J950</f>
        <v/>
      </c>
    </row>
    <row r="951" ht="14.25" customHeight="1" s="54">
      <c r="A951" s="20" t="inlineStr">
        <is>
          <t>BH-40942</t>
        </is>
      </c>
      <c r="B951" s="21" t="n">
        <v>46143</v>
      </c>
      <c r="C951" s="20" t="inlineStr">
        <is>
          <t>C08</t>
        </is>
      </c>
      <c r="D951" s="20" t="inlineStr">
        <is>
          <t>Online Marketplace</t>
        </is>
      </c>
      <c r="E951" s="20" t="inlineStr">
        <is>
          <t>Online</t>
        </is>
      </c>
      <c r="F951" s="20" t="inlineStr">
        <is>
          <t>Nut Butter</t>
        </is>
      </c>
      <c r="G951" s="22" t="n">
        <v>2085</v>
      </c>
      <c r="H951" s="23" t="n">
        <v>56.67</v>
      </c>
      <c r="I951" s="23" t="n">
        <v>118156.95</v>
      </c>
      <c r="J951" s="23" t="n">
        <v>82357.5</v>
      </c>
      <c r="K951">
        <f>IF(OR(COUNTIF($A$5:A951,A951)&gt;1,G951&lt;0,C951="",B951&lt;'Work 1'!$C$6,B951&gt;'Work 1'!$C$7,H951&gt;'Work 1'!$C$8*AVERAGEIF($F$5:$F$1014,F951,$H$5:$H$1014)),"Excl",IF(B951&gt;='Work 1'!$C$5,"LTM","Prior"))</f>
        <v/>
      </c>
      <c r="L951">
        <f>I951-J951</f>
        <v/>
      </c>
    </row>
    <row r="952" ht="14.25" customHeight="1" s="54">
      <c r="A952" s="20" t="inlineStr">
        <is>
          <t>BH-40943</t>
        </is>
      </c>
      <c r="B952" s="21" t="n">
        <v>46143</v>
      </c>
      <c r="C952" s="20" t="inlineStr">
        <is>
          <t>C08</t>
        </is>
      </c>
      <c r="D952" s="20" t="inlineStr">
        <is>
          <t>Online Marketplace</t>
        </is>
      </c>
      <c r="E952" s="20" t="inlineStr">
        <is>
          <t>Online</t>
        </is>
      </c>
      <c r="F952" s="20" t="inlineStr">
        <is>
          <t>Snack Bars</t>
        </is>
      </c>
      <c r="G952" s="22" t="n">
        <v>3504</v>
      </c>
      <c r="H952" s="23" t="n">
        <v>34.58</v>
      </c>
      <c r="I952" s="23" t="n">
        <v>121168.32</v>
      </c>
      <c r="J952" s="23" t="n">
        <v>71656.8</v>
      </c>
      <c r="K952">
        <f>IF(OR(COUNTIF($A$5:A952,A952)&gt;1,G952&lt;0,C952="",B952&lt;'Work 1'!$C$6,B952&gt;'Work 1'!$C$7,H952&gt;'Work 1'!$C$8*AVERAGEIF($F$5:$F$1014,F952,$H$5:$H$1014)),"Excl",IF(B952&gt;='Work 1'!$C$5,"LTM","Prior"))</f>
        <v/>
      </c>
      <c r="L952">
        <f>I952-J952</f>
        <v/>
      </c>
    </row>
    <row r="953" ht="14.25" customHeight="1" s="54">
      <c r="A953" s="20" t="inlineStr">
        <is>
          <t>BH-40944</t>
        </is>
      </c>
      <c r="B953" s="21" t="n">
        <v>46143</v>
      </c>
      <c r="C953" s="20" t="inlineStr">
        <is>
          <t>C09</t>
        </is>
      </c>
      <c r="D953" s="20" t="inlineStr">
        <is>
          <t>Maple Ridge Grocers</t>
        </is>
      </c>
      <c r="E953" s="20" t="inlineStr">
        <is>
          <t>Grocery</t>
        </is>
      </c>
      <c r="F953" s="20" t="inlineStr">
        <is>
          <t>Granola</t>
        </is>
      </c>
      <c r="G953" s="22" t="n">
        <v>1610</v>
      </c>
      <c r="H953" s="23" t="n">
        <v>43.05</v>
      </c>
      <c r="I953" s="23" t="n">
        <v>69310.5</v>
      </c>
      <c r="J953" s="23" t="n">
        <v>43389.5</v>
      </c>
      <c r="K953">
        <f>IF(OR(COUNTIF($A$5:A953,A953)&gt;1,G953&lt;0,C953="",B953&lt;'Work 1'!$C$6,B953&gt;'Work 1'!$C$7,H953&gt;'Work 1'!$C$8*AVERAGEIF($F$5:$F$1014,F953,$H$5:$H$1014)),"Excl",IF(B953&gt;='Work 1'!$C$5,"LTM","Prior"))</f>
        <v/>
      </c>
      <c r="L953">
        <f>I953-J953</f>
        <v/>
      </c>
    </row>
    <row r="954" ht="14.25" customHeight="1" s="54">
      <c r="A954" s="20" t="inlineStr">
        <is>
          <t>BH-40945</t>
        </is>
      </c>
      <c r="B954" s="21" t="n">
        <v>46143</v>
      </c>
      <c r="C954" s="20" t="inlineStr">
        <is>
          <t>C09</t>
        </is>
      </c>
      <c r="D954" s="20" t="inlineStr">
        <is>
          <t>Maple Ridge Grocers</t>
        </is>
      </c>
      <c r="E954" s="20" t="inlineStr">
        <is>
          <t>Grocery</t>
        </is>
      </c>
      <c r="F954" s="20" t="inlineStr">
        <is>
          <t>Snack Bars</t>
        </is>
      </c>
      <c r="G954" s="22" t="n">
        <v>1274</v>
      </c>
      <c r="H954" s="23" t="n">
        <v>33.35</v>
      </c>
      <c r="I954" s="23" t="n">
        <v>42487.9</v>
      </c>
      <c r="J954" s="23" t="n">
        <v>26053.3</v>
      </c>
      <c r="K954">
        <f>IF(OR(COUNTIF($A$5:A954,A954)&gt;1,G954&lt;0,C954="",B954&lt;'Work 1'!$C$6,B954&gt;'Work 1'!$C$7,H954&gt;'Work 1'!$C$8*AVERAGEIF($F$5:$F$1014,F954,$H$5:$H$1014)),"Excl",IF(B954&gt;='Work 1'!$C$5,"LTM","Prior"))</f>
        <v/>
      </c>
      <c r="L954">
        <f>I954-J954</f>
        <v/>
      </c>
    </row>
    <row r="955" ht="14.25" customHeight="1" s="54">
      <c r="A955" s="20" t="inlineStr">
        <is>
          <t>BH-40946</t>
        </is>
      </c>
      <c r="B955" s="21" t="n">
        <v>46143</v>
      </c>
      <c r="C955" s="20" t="inlineStr">
        <is>
          <t>C10</t>
        </is>
      </c>
      <c r="D955" s="20" t="inlineStr">
        <is>
          <t>Lakeshore Foods</t>
        </is>
      </c>
      <c r="E955" s="20" t="inlineStr">
        <is>
          <t>Grocery</t>
        </is>
      </c>
      <c r="F955" s="20" t="inlineStr">
        <is>
          <t>Granola</t>
        </is>
      </c>
      <c r="G955" s="22" t="n">
        <v>1347</v>
      </c>
      <c r="H955" s="23" t="n">
        <v>43.05</v>
      </c>
      <c r="I955" s="23" t="n">
        <v>57988.35</v>
      </c>
      <c r="J955" s="23" t="n">
        <v>36301.65</v>
      </c>
      <c r="K955">
        <f>IF(OR(COUNTIF($A$5:A955,A955)&gt;1,G955&lt;0,C955="",B955&lt;'Work 1'!$C$6,B955&gt;'Work 1'!$C$7,H955&gt;'Work 1'!$C$8*AVERAGEIF($F$5:$F$1014,F955,$H$5:$H$1014)),"Excl",IF(B955&gt;='Work 1'!$C$5,"LTM","Prior"))</f>
        <v/>
      </c>
      <c r="L955">
        <f>I955-J955</f>
        <v/>
      </c>
    </row>
    <row r="956" ht="14.25" customHeight="1" s="54">
      <c r="A956" s="20" t="inlineStr">
        <is>
          <t>BH-40947</t>
        </is>
      </c>
      <c r="B956" s="21" t="n">
        <v>46143</v>
      </c>
      <c r="C956" s="20" t="inlineStr">
        <is>
          <t>C10</t>
        </is>
      </c>
      <c r="D956" s="20" t="inlineStr">
        <is>
          <t>Lakeshore Foods</t>
        </is>
      </c>
      <c r="E956" s="20" t="inlineStr">
        <is>
          <t>Grocery</t>
        </is>
      </c>
      <c r="F956" s="20" t="inlineStr">
        <is>
          <t>Nut Butter</t>
        </is>
      </c>
      <c r="G956" s="22" t="n">
        <v>570</v>
      </c>
      <c r="H956" s="23" t="n">
        <v>57.25</v>
      </c>
      <c r="I956" s="23" t="n">
        <v>32632.5</v>
      </c>
      <c r="J956" s="23" t="n">
        <v>22515</v>
      </c>
      <c r="K956">
        <f>IF(OR(COUNTIF($A$5:A956,A956)&gt;1,G956&lt;0,C956="",B956&lt;'Work 1'!$C$6,B956&gt;'Work 1'!$C$7,H956&gt;'Work 1'!$C$8*AVERAGEIF($F$5:$F$1014,F956,$H$5:$H$1014)),"Excl",IF(B956&gt;='Work 1'!$C$5,"LTM","Prior"))</f>
        <v/>
      </c>
      <c r="L956">
        <f>I956-J956</f>
        <v/>
      </c>
    </row>
    <row r="957" ht="14.25" customHeight="1" s="54">
      <c r="A957" s="20" t="inlineStr">
        <is>
          <t>BH-40948</t>
        </is>
      </c>
      <c r="B957" s="21" t="n">
        <v>46143</v>
      </c>
      <c r="C957" s="20" t="inlineStr">
        <is>
          <t>C11</t>
        </is>
      </c>
      <c r="D957" s="20" t="inlineStr">
        <is>
          <t>Copper Valley Market</t>
        </is>
      </c>
      <c r="E957" s="20" t="inlineStr">
        <is>
          <t>Grocery</t>
        </is>
      </c>
      <c r="F957" s="20" t="inlineStr">
        <is>
          <t>Granola</t>
        </is>
      </c>
      <c r="G957" s="22" t="n">
        <v>1197</v>
      </c>
      <c r="H957" s="23" t="n">
        <v>43.05</v>
      </c>
      <c r="I957" s="23" t="n">
        <v>51530.85</v>
      </c>
      <c r="J957" s="23" t="n">
        <v>32259.15</v>
      </c>
      <c r="K957">
        <f>IF(OR(COUNTIF($A$5:A957,A957)&gt;1,G957&lt;0,C957="",B957&lt;'Work 1'!$C$6,B957&gt;'Work 1'!$C$7,H957&gt;'Work 1'!$C$8*AVERAGEIF($F$5:$F$1014,F957,$H$5:$H$1014)),"Excl",IF(B957&gt;='Work 1'!$C$5,"LTM","Prior"))</f>
        <v/>
      </c>
      <c r="L957">
        <f>I957-J957</f>
        <v/>
      </c>
    </row>
    <row r="958" ht="14.25" customHeight="1" s="54">
      <c r="A958" s="20" t="inlineStr">
        <is>
          <t>BH-40949</t>
        </is>
      </c>
      <c r="B958" s="21" t="n">
        <v>46143</v>
      </c>
      <c r="C958" s="20" t="inlineStr">
        <is>
          <t>C11</t>
        </is>
      </c>
      <c r="D958" s="20" t="inlineStr">
        <is>
          <t>Copper Valley Market</t>
        </is>
      </c>
      <c r="E958" s="20" t="inlineStr">
        <is>
          <t>Grocery</t>
        </is>
      </c>
      <c r="F958" s="20" t="inlineStr">
        <is>
          <t>Snack Bars</t>
        </is>
      </c>
      <c r="G958" s="22" t="n">
        <v>1270</v>
      </c>
      <c r="H958" s="23" t="n">
        <v>33.35</v>
      </c>
      <c r="I958" s="23" t="n">
        <v>42354.5</v>
      </c>
      <c r="J958" s="23" t="n">
        <v>25971.5</v>
      </c>
      <c r="K958">
        <f>IF(OR(COUNTIF($A$5:A958,A958)&gt;1,G958&lt;0,C958="",B958&lt;'Work 1'!$C$6,B958&gt;'Work 1'!$C$7,H958&gt;'Work 1'!$C$8*AVERAGEIF($F$5:$F$1014,F958,$H$5:$H$1014)),"Excl",IF(B958&gt;='Work 1'!$C$5,"LTM","Prior"))</f>
        <v/>
      </c>
      <c r="L958">
        <f>I958-J958</f>
        <v/>
      </c>
    </row>
    <row r="959" ht="14.25" customHeight="1" s="54">
      <c r="A959" s="20" t="inlineStr">
        <is>
          <t>BH-40950</t>
        </is>
      </c>
      <c r="B959" s="21" t="n">
        <v>46143</v>
      </c>
      <c r="C959" s="20" t="inlineStr">
        <is>
          <t>C12</t>
        </is>
      </c>
      <c r="D959" s="20" t="inlineStr">
        <is>
          <t>Riverbend Grocery</t>
        </is>
      </c>
      <c r="E959" s="20" t="inlineStr">
        <is>
          <t>Grocery</t>
        </is>
      </c>
      <c r="F959" s="20" t="inlineStr">
        <is>
          <t>Granola</t>
        </is>
      </c>
      <c r="G959" s="22" t="n">
        <v>1696</v>
      </c>
      <c r="H959" s="23" t="n">
        <v>43.05</v>
      </c>
      <c r="I959" s="23" t="n">
        <v>73012.8</v>
      </c>
      <c r="J959" s="23" t="n">
        <v>45707.2</v>
      </c>
      <c r="K959">
        <f>IF(OR(COUNTIF($A$5:A959,A959)&gt;1,G959&lt;0,C959="",B959&lt;'Work 1'!$C$6,B959&gt;'Work 1'!$C$7,H959&gt;'Work 1'!$C$8*AVERAGEIF($F$5:$F$1014,F959,$H$5:$H$1014)),"Excl",IF(B959&gt;='Work 1'!$C$5,"LTM","Prior"))</f>
        <v/>
      </c>
      <c r="L959">
        <f>I959-J959</f>
        <v/>
      </c>
    </row>
    <row r="960" ht="14.25" customHeight="1" s="54">
      <c r="A960" s="20" t="inlineStr">
        <is>
          <t>BH-40951</t>
        </is>
      </c>
      <c r="B960" s="21" t="n">
        <v>46143</v>
      </c>
      <c r="C960" s="20" t="inlineStr">
        <is>
          <t>C12</t>
        </is>
      </c>
      <c r="D960" s="20" t="inlineStr">
        <is>
          <t>Riverbend Grocery</t>
        </is>
      </c>
      <c r="E960" s="20" t="inlineStr">
        <is>
          <t>Grocery</t>
        </is>
      </c>
      <c r="F960" s="20" t="inlineStr">
        <is>
          <t>Nut Butter</t>
        </is>
      </c>
      <c r="G960" s="22" t="n">
        <v>707</v>
      </c>
      <c r="H960" s="23" t="n">
        <v>57.25</v>
      </c>
      <c r="I960" s="23" t="n">
        <v>40475.75</v>
      </c>
      <c r="J960" s="23" t="n">
        <v>27926.5</v>
      </c>
      <c r="K960">
        <f>IF(OR(COUNTIF($A$5:A960,A960)&gt;1,G960&lt;0,C960="",B960&lt;'Work 1'!$C$6,B960&gt;'Work 1'!$C$7,H960&gt;'Work 1'!$C$8*AVERAGEIF($F$5:$F$1014,F960,$H$5:$H$1014)),"Excl",IF(B960&gt;='Work 1'!$C$5,"LTM","Prior"))</f>
        <v/>
      </c>
      <c r="L960">
        <f>I960-J960</f>
        <v/>
      </c>
    </row>
    <row r="961" ht="14.25" customHeight="1" s="54">
      <c r="A961" s="20" t="inlineStr">
        <is>
          <t>BH-40952</t>
        </is>
      </c>
      <c r="B961" s="21" t="n">
        <v>46143</v>
      </c>
      <c r="C961" s="20" t="inlineStr">
        <is>
          <t>C13</t>
        </is>
      </c>
      <c r="D961" s="20" t="inlineStr">
        <is>
          <t>Sunfield Markets</t>
        </is>
      </c>
      <c r="E961" s="20" t="inlineStr">
        <is>
          <t>Grocery</t>
        </is>
      </c>
      <c r="F961" s="20" t="inlineStr">
        <is>
          <t>Granola</t>
        </is>
      </c>
      <c r="G961" s="22" t="n">
        <v>1058</v>
      </c>
      <c r="H961" s="23" t="n">
        <v>43.05</v>
      </c>
      <c r="I961" s="23" t="n">
        <v>45546.9</v>
      </c>
      <c r="J961" s="23" t="n">
        <v>28513.1</v>
      </c>
      <c r="K961">
        <f>IF(OR(COUNTIF($A$5:A961,A961)&gt;1,G961&lt;0,C961="",B961&lt;'Work 1'!$C$6,B961&gt;'Work 1'!$C$7,H961&gt;'Work 1'!$C$8*AVERAGEIF($F$5:$F$1014,F961,$H$5:$H$1014)),"Excl",IF(B961&gt;='Work 1'!$C$5,"LTM","Prior"))</f>
        <v/>
      </c>
      <c r="L961">
        <f>I961-J961</f>
        <v/>
      </c>
    </row>
    <row r="962" ht="14.25" customHeight="1" s="54">
      <c r="A962" s="20" t="inlineStr">
        <is>
          <t>BH-40953</t>
        </is>
      </c>
      <c r="B962" s="21" t="n">
        <v>46143</v>
      </c>
      <c r="C962" s="20" t="inlineStr">
        <is>
          <t>C13</t>
        </is>
      </c>
      <c r="D962" s="20" t="inlineStr">
        <is>
          <t>Sunfield Markets</t>
        </is>
      </c>
      <c r="E962" s="20" t="inlineStr">
        <is>
          <t>Grocery</t>
        </is>
      </c>
      <c r="F962" s="20" t="inlineStr">
        <is>
          <t>Snack Bars</t>
        </is>
      </c>
      <c r="G962" s="22" t="n">
        <v>1030</v>
      </c>
      <c r="H962" s="23" t="n">
        <v>33.35</v>
      </c>
      <c r="I962" s="23" t="n">
        <v>34350.5</v>
      </c>
      <c r="J962" s="23" t="n">
        <v>21063.5</v>
      </c>
      <c r="K962">
        <f>IF(OR(COUNTIF($A$5:A962,A962)&gt;1,G962&lt;0,C962="",B962&lt;'Work 1'!$C$6,B962&gt;'Work 1'!$C$7,H962&gt;'Work 1'!$C$8*AVERAGEIF($F$5:$F$1014,F962,$H$5:$H$1014)),"Excl",IF(B962&gt;='Work 1'!$C$5,"LTM","Prior"))</f>
        <v/>
      </c>
      <c r="L962">
        <f>I962-J962</f>
        <v/>
      </c>
    </row>
    <row r="963" ht="14.25" customHeight="1" s="54">
      <c r="A963" s="20" t="inlineStr">
        <is>
          <t>BH-40954</t>
        </is>
      </c>
      <c r="B963" s="21" t="n">
        <v>46143</v>
      </c>
      <c r="C963" s="20" t="inlineStr">
        <is>
          <t>C14</t>
        </is>
      </c>
      <c r="D963" s="20" t="inlineStr">
        <is>
          <t>Oak Hollow Foods</t>
        </is>
      </c>
      <c r="E963" s="20" t="inlineStr">
        <is>
          <t>Grocery</t>
        </is>
      </c>
      <c r="F963" s="20" t="inlineStr">
        <is>
          <t>Granola</t>
        </is>
      </c>
      <c r="G963" s="22" t="n">
        <v>1075</v>
      </c>
      <c r="H963" s="23" t="n">
        <v>43.05</v>
      </c>
      <c r="I963" s="23" t="n">
        <v>46278.75</v>
      </c>
      <c r="J963" s="23" t="n">
        <v>28971.25</v>
      </c>
      <c r="K963">
        <f>IF(OR(COUNTIF($A$5:A963,A963)&gt;1,G963&lt;0,C963="",B963&lt;'Work 1'!$C$6,B963&gt;'Work 1'!$C$7,H963&gt;'Work 1'!$C$8*AVERAGEIF($F$5:$F$1014,F963,$H$5:$H$1014)),"Excl",IF(B963&gt;='Work 1'!$C$5,"LTM","Prior"))</f>
        <v/>
      </c>
      <c r="L963">
        <f>I963-J963</f>
        <v/>
      </c>
    </row>
    <row r="964" ht="14.25" customHeight="1" s="54">
      <c r="A964" s="20" t="inlineStr">
        <is>
          <t>BH-40955</t>
        </is>
      </c>
      <c r="B964" s="21" t="n">
        <v>46143</v>
      </c>
      <c r="C964" s="20" t="inlineStr">
        <is>
          <t>C14</t>
        </is>
      </c>
      <c r="D964" s="20" t="inlineStr">
        <is>
          <t>Oak Hollow Foods</t>
        </is>
      </c>
      <c r="E964" s="20" t="inlineStr">
        <is>
          <t>Grocery</t>
        </is>
      </c>
      <c r="F964" s="20" t="inlineStr">
        <is>
          <t>Nut Butter</t>
        </is>
      </c>
      <c r="G964" s="22" t="n">
        <v>406</v>
      </c>
      <c r="H964" s="23" t="n">
        <v>57.25</v>
      </c>
      <c r="I964" s="23" t="n">
        <v>23243.5</v>
      </c>
      <c r="J964" s="23" t="n">
        <v>16037</v>
      </c>
      <c r="K964">
        <f>IF(OR(COUNTIF($A$5:A964,A964)&gt;1,G964&lt;0,C964="",B964&lt;'Work 1'!$C$6,B964&gt;'Work 1'!$C$7,H964&gt;'Work 1'!$C$8*AVERAGEIF($F$5:$F$1014,F964,$H$5:$H$1014)),"Excl",IF(B964&gt;='Work 1'!$C$5,"LTM","Prior"))</f>
        <v/>
      </c>
      <c r="L964">
        <f>I964-J964</f>
        <v/>
      </c>
    </row>
    <row r="965" ht="14.25" customHeight="1" s="54">
      <c r="A965" s="20" t="inlineStr">
        <is>
          <t>BH-40956</t>
        </is>
      </c>
      <c r="B965" s="21" t="n">
        <v>46143</v>
      </c>
      <c r="C965" s="20" t="inlineStr">
        <is>
          <t>C14</t>
        </is>
      </c>
      <c r="D965" s="20" t="inlineStr">
        <is>
          <t>Oak Hollow Foods</t>
        </is>
      </c>
      <c r="E965" s="20" t="inlineStr">
        <is>
          <t>Grocery</t>
        </is>
      </c>
      <c r="F965" s="20" t="inlineStr">
        <is>
          <t>Snack Bars</t>
        </is>
      </c>
      <c r="G965" s="22" t="n">
        <v>695</v>
      </c>
      <c r="H965" s="23" t="n">
        <v>33.35</v>
      </c>
      <c r="I965" s="23" t="n">
        <v>23178.25</v>
      </c>
      <c r="J965" s="23" t="n">
        <v>14212.75</v>
      </c>
      <c r="K965">
        <f>IF(OR(COUNTIF($A$5:A965,A965)&gt;1,G965&lt;0,C965="",B965&lt;'Work 1'!$C$6,B965&gt;'Work 1'!$C$7,H965&gt;'Work 1'!$C$8*AVERAGEIF($F$5:$F$1014,F965,$H$5:$H$1014)),"Excl",IF(B965&gt;='Work 1'!$C$5,"LTM","Prior"))</f>
        <v/>
      </c>
      <c r="L965">
        <f>I965-J965</f>
        <v/>
      </c>
    </row>
    <row r="966" ht="14.25" customHeight="1" s="54">
      <c r="A966" s="20" t="inlineStr">
        <is>
          <t>BH-40957</t>
        </is>
      </c>
      <c r="B966" s="21" t="n">
        <v>46143</v>
      </c>
      <c r="C966" s="20" t="inlineStr">
        <is>
          <t>C15</t>
        </is>
      </c>
      <c r="D966" s="20" t="inlineStr">
        <is>
          <t>Prairie Fresh</t>
        </is>
      </c>
      <c r="E966" s="20" t="inlineStr">
        <is>
          <t>Grocery</t>
        </is>
      </c>
      <c r="F966" s="20" t="inlineStr">
        <is>
          <t>Granola</t>
        </is>
      </c>
      <c r="G966" s="22" t="n">
        <v>1378</v>
      </c>
      <c r="H966" s="23" t="n">
        <v>43.05</v>
      </c>
      <c r="I966" s="23" t="n">
        <v>59322.9</v>
      </c>
      <c r="J966" s="23" t="n">
        <v>37137.1</v>
      </c>
      <c r="K966">
        <f>IF(OR(COUNTIF($A$5:A966,A966)&gt;1,G966&lt;0,C966="",B966&lt;'Work 1'!$C$6,B966&gt;'Work 1'!$C$7,H966&gt;'Work 1'!$C$8*AVERAGEIF($F$5:$F$1014,F966,$H$5:$H$1014)),"Excl",IF(B966&gt;='Work 1'!$C$5,"LTM","Prior"))</f>
        <v/>
      </c>
      <c r="L966">
        <f>I966-J966</f>
        <v/>
      </c>
    </row>
    <row r="967" ht="14.25" customHeight="1" s="54">
      <c r="A967" s="20" t="inlineStr">
        <is>
          <t>BH-40958</t>
        </is>
      </c>
      <c r="B967" s="21" t="n">
        <v>46143</v>
      </c>
      <c r="C967" s="20" t="inlineStr">
        <is>
          <t>C15</t>
        </is>
      </c>
      <c r="D967" s="20" t="inlineStr">
        <is>
          <t>Prairie Fresh</t>
        </is>
      </c>
      <c r="E967" s="20" t="inlineStr">
        <is>
          <t>Grocery</t>
        </is>
      </c>
      <c r="F967" s="20" t="inlineStr">
        <is>
          <t>Snack Bars</t>
        </is>
      </c>
      <c r="G967" s="22" t="n">
        <v>1044</v>
      </c>
      <c r="H967" s="23" t="n">
        <v>33.35</v>
      </c>
      <c r="I967" s="23" t="n">
        <v>34817.4</v>
      </c>
      <c r="J967" s="23" t="n">
        <v>21349.8</v>
      </c>
      <c r="K967">
        <f>IF(OR(COUNTIF($A$5:A967,A967)&gt;1,G967&lt;0,C967="",B967&lt;'Work 1'!$C$6,B967&gt;'Work 1'!$C$7,H967&gt;'Work 1'!$C$8*AVERAGEIF($F$5:$F$1014,F967,$H$5:$H$1014)),"Excl",IF(B967&gt;='Work 1'!$C$5,"LTM","Prior"))</f>
        <v/>
      </c>
      <c r="L967">
        <f>I967-J967</f>
        <v/>
      </c>
    </row>
    <row r="968" ht="14.25" customHeight="1" s="54">
      <c r="A968" s="20" t="inlineStr">
        <is>
          <t>BH-40959</t>
        </is>
      </c>
      <c r="B968" s="21" t="n">
        <v>46143</v>
      </c>
      <c r="C968" s="20" t="inlineStr">
        <is>
          <t>C16</t>
        </is>
      </c>
      <c r="D968" s="20" t="inlineStr">
        <is>
          <t>Bay Street Market</t>
        </is>
      </c>
      <c r="E968" s="20" t="inlineStr">
        <is>
          <t>Grocery</t>
        </is>
      </c>
      <c r="F968" s="20" t="inlineStr">
        <is>
          <t>Granola</t>
        </is>
      </c>
      <c r="G968" s="22" t="n">
        <v>971</v>
      </c>
      <c r="H968" s="23" t="n">
        <v>43.05</v>
      </c>
      <c r="I968" s="23" t="n">
        <v>41801.55</v>
      </c>
      <c r="J968" s="23" t="n">
        <v>26168.45</v>
      </c>
      <c r="K968">
        <f>IF(OR(COUNTIF($A$5:A968,A968)&gt;1,G968&lt;0,C968="",B968&lt;'Work 1'!$C$6,B968&gt;'Work 1'!$C$7,H968&gt;'Work 1'!$C$8*AVERAGEIF($F$5:$F$1014,F968,$H$5:$H$1014)),"Excl",IF(B968&gt;='Work 1'!$C$5,"LTM","Prior"))</f>
        <v/>
      </c>
      <c r="L968">
        <f>I968-J968</f>
        <v/>
      </c>
    </row>
    <row r="969" ht="14.25" customHeight="1" s="54">
      <c r="A969" s="20" t="inlineStr">
        <is>
          <t>BH-40960</t>
        </is>
      </c>
      <c r="B969" s="21" t="n">
        <v>46143</v>
      </c>
      <c r="C969" s="20" t="inlineStr">
        <is>
          <t>C16</t>
        </is>
      </c>
      <c r="D969" s="20" t="inlineStr">
        <is>
          <t>Bay Street Market</t>
        </is>
      </c>
      <c r="E969" s="20" t="inlineStr">
        <is>
          <t>Grocery</t>
        </is>
      </c>
      <c r="F969" s="20" t="inlineStr">
        <is>
          <t>Nut Butter</t>
        </is>
      </c>
      <c r="G969" s="22" t="n">
        <v>617</v>
      </c>
      <c r="H969" s="23" t="n">
        <v>57.25</v>
      </c>
      <c r="I969" s="23" t="n">
        <v>35323.25</v>
      </c>
      <c r="J969" s="23" t="n">
        <v>24371.5</v>
      </c>
      <c r="K969">
        <f>IF(OR(COUNTIF($A$5:A969,A969)&gt;1,G969&lt;0,C969="",B969&lt;'Work 1'!$C$6,B969&gt;'Work 1'!$C$7,H969&gt;'Work 1'!$C$8*AVERAGEIF($F$5:$F$1014,F969,$H$5:$H$1014)),"Excl",IF(B969&gt;='Work 1'!$C$5,"LTM","Prior"))</f>
        <v/>
      </c>
      <c r="L969">
        <f>I969-J969</f>
        <v/>
      </c>
    </row>
    <row r="970" ht="14.25" customHeight="1" s="54">
      <c r="A970" s="20" t="inlineStr">
        <is>
          <t>BH-40961</t>
        </is>
      </c>
      <c r="B970" s="21" t="n">
        <v>46143</v>
      </c>
      <c r="C970" s="20" t="inlineStr">
        <is>
          <t>C19</t>
        </is>
      </c>
      <c r="D970" s="20" t="inlineStr">
        <is>
          <t>Greenway Markets</t>
        </is>
      </c>
      <c r="E970" s="20" t="inlineStr">
        <is>
          <t>Grocery</t>
        </is>
      </c>
      <c r="F970" s="20" t="inlineStr">
        <is>
          <t>Granola</t>
        </is>
      </c>
      <c r="G970" s="22" t="n">
        <v>1486</v>
      </c>
      <c r="H970" s="23" t="n">
        <v>43.05</v>
      </c>
      <c r="I970" s="23" t="n">
        <v>63972.3</v>
      </c>
      <c r="J970" s="23" t="n">
        <v>40047.7</v>
      </c>
      <c r="K970">
        <f>IF(OR(COUNTIF($A$5:A970,A970)&gt;1,G970&lt;0,C970="",B970&lt;'Work 1'!$C$6,B970&gt;'Work 1'!$C$7,H970&gt;'Work 1'!$C$8*AVERAGEIF($F$5:$F$1014,F970,$H$5:$H$1014)),"Excl",IF(B970&gt;='Work 1'!$C$5,"LTM","Prior"))</f>
        <v/>
      </c>
      <c r="L970">
        <f>I970-J970</f>
        <v/>
      </c>
    </row>
    <row r="971" ht="14.25" customHeight="1" s="54">
      <c r="A971" s="20" t="inlineStr">
        <is>
          <t>BH-40962</t>
        </is>
      </c>
      <c r="B971" s="21" t="n">
        <v>46143</v>
      </c>
      <c r="C971" s="20" t="inlineStr">
        <is>
          <t>C19</t>
        </is>
      </c>
      <c r="D971" s="20" t="inlineStr">
        <is>
          <t>Greenway Markets</t>
        </is>
      </c>
      <c r="E971" s="20" t="inlineStr">
        <is>
          <t>Grocery</t>
        </is>
      </c>
      <c r="F971" s="20" t="inlineStr">
        <is>
          <t>Nut Butter</t>
        </is>
      </c>
      <c r="G971" s="22" t="n">
        <v>724</v>
      </c>
      <c r="H971" s="23" t="n">
        <v>57.25</v>
      </c>
      <c r="I971" s="23" t="n">
        <v>41449</v>
      </c>
      <c r="J971" s="23" t="n">
        <v>28598</v>
      </c>
      <c r="K971">
        <f>IF(OR(COUNTIF($A$5:A971,A971)&gt;1,G971&lt;0,C971="",B971&lt;'Work 1'!$C$6,B971&gt;'Work 1'!$C$7,H971&gt;'Work 1'!$C$8*AVERAGEIF($F$5:$F$1014,F971,$H$5:$H$1014)),"Excl",IF(B971&gt;='Work 1'!$C$5,"LTM","Prior"))</f>
        <v/>
      </c>
      <c r="L971">
        <f>I971-J971</f>
        <v/>
      </c>
    </row>
    <row r="972" ht="14.25" customHeight="1" s="54">
      <c r="A972" s="20" t="inlineStr">
        <is>
          <t>BH-40963</t>
        </is>
      </c>
      <c r="B972" s="21" t="n">
        <v>46143</v>
      </c>
      <c r="C972" s="20" t="inlineStr">
        <is>
          <t>C19</t>
        </is>
      </c>
      <c r="D972" s="20" t="inlineStr">
        <is>
          <t>Greenway Markets</t>
        </is>
      </c>
      <c r="E972" s="20" t="inlineStr">
        <is>
          <t>Grocery</t>
        </is>
      </c>
      <c r="F972" s="20" t="inlineStr">
        <is>
          <t>Snack Bars</t>
        </is>
      </c>
      <c r="G972" s="22" t="n">
        <v>713</v>
      </c>
      <c r="H972" s="23" t="n">
        <v>33.35</v>
      </c>
      <c r="I972" s="23" t="n">
        <v>23778.55</v>
      </c>
      <c r="J972" s="23" t="n">
        <v>14580.85</v>
      </c>
      <c r="K972">
        <f>IF(OR(COUNTIF($A$5:A972,A972)&gt;1,G972&lt;0,C972="",B972&lt;'Work 1'!$C$6,B972&gt;'Work 1'!$C$7,H972&gt;'Work 1'!$C$8*AVERAGEIF($F$5:$F$1014,F972,$H$5:$H$1014)),"Excl",IF(B972&gt;='Work 1'!$C$5,"LTM","Prior"))</f>
        <v/>
      </c>
      <c r="L972">
        <f>I972-J972</f>
        <v/>
      </c>
    </row>
    <row r="973" ht="14.25" customHeight="1" s="54">
      <c r="A973" s="20" t="inlineStr">
        <is>
          <t>BH-40964</t>
        </is>
      </c>
      <c r="B973" s="21" t="n">
        <v>46174</v>
      </c>
      <c r="C973" s="20" t="inlineStr">
        <is>
          <t>C01</t>
        </is>
      </c>
      <c r="D973" s="20" t="inlineStr">
        <is>
          <t>Northfield Markets</t>
        </is>
      </c>
      <c r="E973" s="20" t="inlineStr">
        <is>
          <t>Grocery</t>
        </is>
      </c>
      <c r="F973" s="20" t="inlineStr">
        <is>
          <t>Granola</t>
        </is>
      </c>
      <c r="G973" s="22" t="n">
        <v>15142</v>
      </c>
      <c r="H973" s="23" t="n">
        <v>39.61</v>
      </c>
      <c r="I973" s="23" t="n">
        <v>599774.62</v>
      </c>
      <c r="J973" s="23" t="n">
        <v>408076.9</v>
      </c>
      <c r="K973">
        <f>IF(OR(COUNTIF($A$5:A973,A973)&gt;1,G973&lt;0,C973="",B973&lt;'Work 1'!$C$6,B973&gt;'Work 1'!$C$7,H973&gt;'Work 1'!$C$8*AVERAGEIF($F$5:$F$1014,F973,$H$5:$H$1014)),"Excl",IF(B973&gt;='Work 1'!$C$5,"LTM","Prior"))</f>
        <v/>
      </c>
      <c r="L973">
        <f>I973-J973</f>
        <v/>
      </c>
    </row>
    <row r="974" ht="14.25" customHeight="1" s="54">
      <c r="A974" s="20" t="inlineStr">
        <is>
          <t>BH-40965</t>
        </is>
      </c>
      <c r="B974" s="21" t="n">
        <v>46174</v>
      </c>
      <c r="C974" s="20" t="inlineStr">
        <is>
          <t>C01</t>
        </is>
      </c>
      <c r="D974" s="20" t="inlineStr">
        <is>
          <t>Northfield Markets</t>
        </is>
      </c>
      <c r="E974" s="20" t="inlineStr">
        <is>
          <t>Grocery</t>
        </is>
      </c>
      <c r="F974" s="20" t="inlineStr">
        <is>
          <t>Nut Butter</t>
        </is>
      </c>
      <c r="G974" s="22" t="n">
        <v>8099</v>
      </c>
      <c r="H974" s="23" t="n">
        <v>52.67</v>
      </c>
      <c r="I974" s="23" t="n">
        <v>426574.33</v>
      </c>
      <c r="J974" s="23" t="n">
        <v>319910.5</v>
      </c>
      <c r="K974">
        <f>IF(OR(COUNTIF($A$5:A974,A974)&gt;1,G974&lt;0,C974="",B974&lt;'Work 1'!$C$6,B974&gt;'Work 1'!$C$7,H974&gt;'Work 1'!$C$8*AVERAGEIF($F$5:$F$1014,F974,$H$5:$H$1014)),"Excl",IF(B974&gt;='Work 1'!$C$5,"LTM","Prior"))</f>
        <v/>
      </c>
      <c r="L974">
        <f>I974-J974</f>
        <v/>
      </c>
    </row>
    <row r="975" ht="14.25" customHeight="1" s="54">
      <c r="A975" s="20" t="inlineStr">
        <is>
          <t>BH-40966</t>
        </is>
      </c>
      <c r="B975" s="21" t="n">
        <v>46174</v>
      </c>
      <c r="C975" s="20" t="inlineStr">
        <is>
          <t>C01</t>
        </is>
      </c>
      <c r="D975" s="20" t="inlineStr">
        <is>
          <t>Northfield Markets</t>
        </is>
      </c>
      <c r="E975" s="20" t="inlineStr">
        <is>
          <t>Grocery</t>
        </is>
      </c>
      <c r="F975" s="20" t="inlineStr">
        <is>
          <t>Snack Bars</t>
        </is>
      </c>
      <c r="G975" s="22" t="n">
        <v>11553</v>
      </c>
      <c r="H975" s="23" t="n">
        <v>30.68</v>
      </c>
      <c r="I975" s="23" t="n">
        <v>354446.04</v>
      </c>
      <c r="J975" s="23" t="n">
        <v>236258.85</v>
      </c>
      <c r="K975">
        <f>IF(OR(COUNTIF($A$5:A975,A975)&gt;1,G975&lt;0,C975="",B975&lt;'Work 1'!$C$6,B975&gt;'Work 1'!$C$7,H975&gt;'Work 1'!$C$8*AVERAGEIF($F$5:$F$1014,F975,$H$5:$H$1014)),"Excl",IF(B975&gt;='Work 1'!$C$5,"LTM","Prior"))</f>
        <v/>
      </c>
      <c r="L975">
        <f>I975-J975</f>
        <v/>
      </c>
    </row>
    <row r="976" ht="14.25" customHeight="1" s="54">
      <c r="A976" s="20" t="inlineStr">
        <is>
          <t>BH-40967</t>
        </is>
      </c>
      <c r="B976" s="21" t="n">
        <v>46174</v>
      </c>
      <c r="C976" s="20" t="inlineStr">
        <is>
          <t>C02</t>
        </is>
      </c>
      <c r="D976" s="20" t="inlineStr">
        <is>
          <t>Crestline Grocers</t>
        </is>
      </c>
      <c r="E976" s="20" t="inlineStr">
        <is>
          <t>Grocery</t>
        </is>
      </c>
      <c r="F976" s="20" t="inlineStr">
        <is>
          <t>Granola</t>
        </is>
      </c>
      <c r="G976" s="22" t="n">
        <v>3865</v>
      </c>
      <c r="H976" s="23" t="n">
        <v>41.76</v>
      </c>
      <c r="I976" s="23" t="n">
        <v>161402.4</v>
      </c>
      <c r="J976" s="23" t="n">
        <v>104161.75</v>
      </c>
      <c r="K976">
        <f>IF(OR(COUNTIF($A$5:A976,A976)&gt;1,G976&lt;0,C976="",B976&lt;'Work 1'!$C$6,B976&gt;'Work 1'!$C$7,H976&gt;'Work 1'!$C$8*AVERAGEIF($F$5:$F$1014,F976,$H$5:$H$1014)),"Excl",IF(B976&gt;='Work 1'!$C$5,"LTM","Prior"))</f>
        <v/>
      </c>
      <c r="L976">
        <f>I976-J976</f>
        <v/>
      </c>
    </row>
    <row r="977" ht="14.25" customHeight="1" s="54">
      <c r="A977" s="20" t="inlineStr">
        <is>
          <t>BH-40968</t>
        </is>
      </c>
      <c r="B977" s="21" t="n">
        <v>46174</v>
      </c>
      <c r="C977" s="20" t="inlineStr">
        <is>
          <t>C02</t>
        </is>
      </c>
      <c r="D977" s="20" t="inlineStr">
        <is>
          <t>Crestline Grocers</t>
        </is>
      </c>
      <c r="E977" s="20" t="inlineStr">
        <is>
          <t>Grocery</t>
        </is>
      </c>
      <c r="F977" s="20" t="inlineStr">
        <is>
          <t>Nut Butter</t>
        </is>
      </c>
      <c r="G977" s="22" t="n">
        <v>1937</v>
      </c>
      <c r="H977" s="23" t="n">
        <v>55.53</v>
      </c>
      <c r="I977" s="23" t="n">
        <v>107561.61</v>
      </c>
      <c r="J977" s="23" t="n">
        <v>76511.5</v>
      </c>
      <c r="K977">
        <f>IF(OR(COUNTIF($A$5:A977,A977)&gt;1,G977&lt;0,C977="",B977&lt;'Work 1'!$C$6,B977&gt;'Work 1'!$C$7,H977&gt;'Work 1'!$C$8*AVERAGEIF($F$5:$F$1014,F977,$H$5:$H$1014)),"Excl",IF(B977&gt;='Work 1'!$C$5,"LTM","Prior"))</f>
        <v/>
      </c>
      <c r="L977">
        <f>I977-J977</f>
        <v/>
      </c>
    </row>
    <row r="978" ht="14.25" customHeight="1" s="54">
      <c r="A978" s="20" t="inlineStr">
        <is>
          <t>BH-40969</t>
        </is>
      </c>
      <c r="B978" s="21" t="n">
        <v>46174</v>
      </c>
      <c r="C978" s="20" t="inlineStr">
        <is>
          <t>C02</t>
        </is>
      </c>
      <c r="D978" s="20" t="inlineStr">
        <is>
          <t>Crestline Grocers</t>
        </is>
      </c>
      <c r="E978" s="20" t="inlineStr">
        <is>
          <t>Grocery</t>
        </is>
      </c>
      <c r="F978" s="20" t="inlineStr">
        <is>
          <t>Snack Bars</t>
        </is>
      </c>
      <c r="G978" s="22" t="n">
        <v>3186</v>
      </c>
      <c r="H978" s="23" t="n">
        <v>32.35</v>
      </c>
      <c r="I978" s="23" t="n">
        <v>103067.1</v>
      </c>
      <c r="J978" s="23" t="n">
        <v>65153.7</v>
      </c>
      <c r="K978">
        <f>IF(OR(COUNTIF($A$5:A978,A978)&gt;1,G978&lt;0,C978="",B978&lt;'Work 1'!$C$6,B978&gt;'Work 1'!$C$7,H978&gt;'Work 1'!$C$8*AVERAGEIF($F$5:$F$1014,F978,$H$5:$H$1014)),"Excl",IF(B978&gt;='Work 1'!$C$5,"LTM","Prior"))</f>
        <v/>
      </c>
      <c r="L978">
        <f>I978-J978</f>
        <v/>
      </c>
    </row>
    <row r="979" ht="14.25" customHeight="1" s="54">
      <c r="A979" s="20" t="inlineStr">
        <is>
          <t>BH-40970</t>
        </is>
      </c>
      <c r="B979" s="21" t="n">
        <v>46174</v>
      </c>
      <c r="C979" s="20" t="inlineStr">
        <is>
          <t>C03</t>
        </is>
      </c>
      <c r="D979" s="20" t="inlineStr">
        <is>
          <t>ValuClub Warehouse</t>
        </is>
      </c>
      <c r="E979" s="20" t="inlineStr">
        <is>
          <t>Club</t>
        </is>
      </c>
      <c r="F979" s="20" t="inlineStr">
        <is>
          <t>Granola</t>
        </is>
      </c>
      <c r="G979" s="22" t="n">
        <v>12750</v>
      </c>
      <c r="H979" s="23" t="n">
        <v>36.6</v>
      </c>
      <c r="I979" s="23" t="n">
        <v>466650</v>
      </c>
      <c r="J979" s="23" t="n">
        <v>343612.5</v>
      </c>
      <c r="K979">
        <f>IF(OR(COUNTIF($A$5:A979,A979)&gt;1,G979&lt;0,C979="",B979&lt;'Work 1'!$C$6,B979&gt;'Work 1'!$C$7,H979&gt;'Work 1'!$C$8*AVERAGEIF($F$5:$F$1014,F979,$H$5:$H$1014)),"Excl",IF(B979&gt;='Work 1'!$C$5,"LTM","Prior"))</f>
        <v/>
      </c>
      <c r="L979">
        <f>I979-J979</f>
        <v/>
      </c>
    </row>
    <row r="980" ht="14.25" customHeight="1" s="54">
      <c r="A980" s="20" t="inlineStr">
        <is>
          <t>BH-40971</t>
        </is>
      </c>
      <c r="B980" s="21" t="n">
        <v>46174</v>
      </c>
      <c r="C980" s="20" t="inlineStr">
        <is>
          <t>C03</t>
        </is>
      </c>
      <c r="D980" s="20" t="inlineStr">
        <is>
          <t>ValuClub Warehouse</t>
        </is>
      </c>
      <c r="E980" s="20" t="inlineStr">
        <is>
          <t>Club</t>
        </is>
      </c>
      <c r="F980" s="20" t="inlineStr">
        <is>
          <t>Snack Bars</t>
        </is>
      </c>
      <c r="G980" s="22" t="n">
        <v>14147</v>
      </c>
      <c r="H980" s="23" t="n">
        <v>25.35</v>
      </c>
      <c r="I980" s="23" t="n">
        <v>358626.45</v>
      </c>
      <c r="J980" s="23" t="n">
        <v>289306.15</v>
      </c>
      <c r="K980">
        <f>IF(OR(COUNTIF($A$5:A980,A980)&gt;1,G980&lt;0,C980="",B980&lt;'Work 1'!$C$6,B980&gt;'Work 1'!$C$7,H980&gt;'Work 1'!$C$8*AVERAGEIF($F$5:$F$1014,F980,$H$5:$H$1014)),"Excl",IF(B980&gt;='Work 1'!$C$5,"LTM","Prior"))</f>
        <v/>
      </c>
      <c r="L980">
        <f>I980-J980</f>
        <v/>
      </c>
    </row>
    <row r="981" ht="14.25" customHeight="1" s="54">
      <c r="A981" s="20" t="inlineStr">
        <is>
          <t>BH-40972</t>
        </is>
      </c>
      <c r="B981" s="21" t="n">
        <v>46174</v>
      </c>
      <c r="C981" s="20" t="inlineStr">
        <is>
          <t>C04</t>
        </is>
      </c>
      <c r="D981" s="20" t="inlineStr">
        <is>
          <t>Harvest Lane Co-op</t>
        </is>
      </c>
      <c r="E981" s="20" t="inlineStr">
        <is>
          <t>Grocery</t>
        </is>
      </c>
      <c r="F981" s="20" t="inlineStr">
        <is>
          <t>Granola</t>
        </is>
      </c>
      <c r="G981" s="22" t="n">
        <v>2648</v>
      </c>
      <c r="H981" s="23" t="n">
        <v>43.05</v>
      </c>
      <c r="I981" s="23" t="n">
        <v>113996.4</v>
      </c>
      <c r="J981" s="23" t="n">
        <v>71363.60000000001</v>
      </c>
      <c r="K981">
        <f>IF(OR(COUNTIF($A$5:A981,A981)&gt;1,G981&lt;0,C981="",B981&lt;'Work 1'!$C$6,B981&gt;'Work 1'!$C$7,H981&gt;'Work 1'!$C$8*AVERAGEIF($F$5:$F$1014,F981,$H$5:$H$1014)),"Excl",IF(B981&gt;='Work 1'!$C$5,"LTM","Prior"))</f>
        <v/>
      </c>
      <c r="L981">
        <f>I981-J981</f>
        <v/>
      </c>
    </row>
    <row r="982" ht="14.25" customHeight="1" s="54">
      <c r="A982" s="20" t="inlineStr">
        <is>
          <t>BH-40973</t>
        </is>
      </c>
      <c r="B982" s="21" t="n">
        <v>46174</v>
      </c>
      <c r="C982" s="20" t="inlineStr">
        <is>
          <t>C04</t>
        </is>
      </c>
      <c r="D982" s="20" t="inlineStr">
        <is>
          <t>Harvest Lane Co-op</t>
        </is>
      </c>
      <c r="E982" s="20" t="inlineStr">
        <is>
          <t>Grocery</t>
        </is>
      </c>
      <c r="F982" s="20" t="inlineStr">
        <is>
          <t>Nut Butter</t>
        </is>
      </c>
      <c r="G982" s="22" t="n">
        <v>1495</v>
      </c>
      <c r="H982" s="23" t="n">
        <v>57.25</v>
      </c>
      <c r="I982" s="23" t="n">
        <v>85588.75</v>
      </c>
      <c r="J982" s="23" t="n">
        <v>59052.5</v>
      </c>
      <c r="K982">
        <f>IF(OR(COUNTIF($A$5:A982,A982)&gt;1,G982&lt;0,C982="",B982&lt;'Work 1'!$C$6,B982&gt;'Work 1'!$C$7,H982&gt;'Work 1'!$C$8*AVERAGEIF($F$5:$F$1014,F982,$H$5:$H$1014)),"Excl",IF(B982&gt;='Work 1'!$C$5,"LTM","Prior"))</f>
        <v/>
      </c>
      <c r="L982">
        <f>I982-J982</f>
        <v/>
      </c>
    </row>
    <row r="983" ht="14.25" customHeight="1" s="54">
      <c r="A983" s="20" t="inlineStr">
        <is>
          <t>BH-40974</t>
        </is>
      </c>
      <c r="B983" s="21" t="n">
        <v>46174</v>
      </c>
      <c r="C983" s="20" t="inlineStr">
        <is>
          <t>C04</t>
        </is>
      </c>
      <c r="D983" s="20" t="inlineStr">
        <is>
          <t>Harvest Lane Co-op</t>
        </is>
      </c>
      <c r="E983" s="20" t="inlineStr">
        <is>
          <t>Grocery</t>
        </is>
      </c>
      <c r="F983" s="20" t="inlineStr">
        <is>
          <t>Snack Bars</t>
        </is>
      </c>
      <c r="G983" s="22" t="n">
        <v>1824</v>
      </c>
      <c r="H983" s="23" t="n">
        <v>33.35</v>
      </c>
      <c r="I983" s="23" t="n">
        <v>60830.4</v>
      </c>
      <c r="J983" s="23" t="n">
        <v>37300.8</v>
      </c>
      <c r="K983">
        <f>IF(OR(COUNTIF($A$5:A983,A983)&gt;1,G983&lt;0,C983="",B983&lt;'Work 1'!$C$6,B983&gt;'Work 1'!$C$7,H983&gt;'Work 1'!$C$8*AVERAGEIF($F$5:$F$1014,F983,$H$5:$H$1014)),"Excl",IF(B983&gt;='Work 1'!$C$5,"LTM","Prior"))</f>
        <v/>
      </c>
      <c r="L983">
        <f>I983-J983</f>
        <v/>
      </c>
    </row>
    <row r="984" ht="14.25" customHeight="1" s="54">
      <c r="A984" s="20" t="inlineStr">
        <is>
          <t>BH-40975</t>
        </is>
      </c>
      <c r="B984" s="21" t="n">
        <v>46174</v>
      </c>
      <c r="C984" s="20" t="inlineStr">
        <is>
          <t>C05</t>
        </is>
      </c>
      <c r="D984" s="20" t="inlineStr">
        <is>
          <t>Pioneer Foods Distribution</t>
        </is>
      </c>
      <c r="E984" s="20" t="inlineStr">
        <is>
          <t>Grocery</t>
        </is>
      </c>
      <c r="F984" s="20" t="inlineStr">
        <is>
          <t>Granola</t>
        </is>
      </c>
      <c r="G984" s="22" t="n">
        <v>3080</v>
      </c>
      <c r="H984" s="23" t="n">
        <v>38.74</v>
      </c>
      <c r="I984" s="23" t="n">
        <v>119319.2</v>
      </c>
      <c r="J984" s="23" t="n">
        <v>83006</v>
      </c>
      <c r="K984">
        <f>IF(OR(COUNTIF($A$5:A984,A984)&gt;1,G984&lt;0,C984="",B984&lt;'Work 1'!$C$6,B984&gt;'Work 1'!$C$7,H984&gt;'Work 1'!$C$8*AVERAGEIF($F$5:$F$1014,F984,$H$5:$H$1014)),"Excl",IF(B984&gt;='Work 1'!$C$5,"LTM","Prior"))</f>
        <v/>
      </c>
      <c r="L984">
        <f>I984-J984</f>
        <v/>
      </c>
    </row>
    <row r="985" ht="14.25" customHeight="1" s="54">
      <c r="A985" s="20" t="inlineStr">
        <is>
          <t>BH-40976</t>
        </is>
      </c>
      <c r="B985" s="21" t="n">
        <v>46174</v>
      </c>
      <c r="C985" s="20" t="inlineStr">
        <is>
          <t>C05</t>
        </is>
      </c>
      <c r="D985" s="20" t="inlineStr">
        <is>
          <t>Pioneer Foods Distribution</t>
        </is>
      </c>
      <c r="E985" s="20" t="inlineStr">
        <is>
          <t>Grocery</t>
        </is>
      </c>
      <c r="F985" s="20" t="inlineStr">
        <is>
          <t>Nut Butter</t>
        </is>
      </c>
      <c r="G985" s="22" t="n">
        <v>1716</v>
      </c>
      <c r="H985" s="23" t="n">
        <v>51.52</v>
      </c>
      <c r="I985" s="23" t="n">
        <v>88408.32000000001</v>
      </c>
      <c r="J985" s="23" t="n">
        <v>67782</v>
      </c>
      <c r="K985">
        <f>IF(OR(COUNTIF($A$5:A985,A985)&gt;1,G985&lt;0,C985="",B985&lt;'Work 1'!$C$6,B985&gt;'Work 1'!$C$7,H985&gt;'Work 1'!$C$8*AVERAGEIF($F$5:$F$1014,F985,$H$5:$H$1014)),"Excl",IF(B985&gt;='Work 1'!$C$5,"LTM","Prior"))</f>
        <v/>
      </c>
      <c r="L985">
        <f>I985-J985</f>
        <v/>
      </c>
    </row>
    <row r="986" ht="14.25" customHeight="1" s="54">
      <c r="A986" s="20" t="inlineStr">
        <is>
          <t>BH-40977</t>
        </is>
      </c>
      <c r="B986" s="21" t="n">
        <v>46174</v>
      </c>
      <c r="C986" s="20" t="inlineStr">
        <is>
          <t>C05</t>
        </is>
      </c>
      <c r="D986" s="20" t="inlineStr">
        <is>
          <t>Pioneer Foods Distribution</t>
        </is>
      </c>
      <c r="E986" s="20" t="inlineStr">
        <is>
          <t>Grocery</t>
        </is>
      </c>
      <c r="F986" s="20" t="inlineStr">
        <is>
          <t>Snack Bars</t>
        </is>
      </c>
      <c r="G986" s="22" t="n">
        <v>2727</v>
      </c>
      <c r="H986" s="23" t="n">
        <v>30.02</v>
      </c>
      <c r="I986" s="23" t="n">
        <v>81864.53999999999</v>
      </c>
      <c r="J986" s="23" t="n">
        <v>55767.15</v>
      </c>
      <c r="K986">
        <f>IF(OR(COUNTIF($A$5:A986,A986)&gt;1,G986&lt;0,C986="",B986&lt;'Work 1'!$C$6,B986&gt;'Work 1'!$C$7,H986&gt;'Work 1'!$C$8*AVERAGEIF($F$5:$F$1014,F986,$H$5:$H$1014)),"Excl",IF(B986&gt;='Work 1'!$C$5,"LTM","Prior"))</f>
        <v/>
      </c>
      <c r="L986">
        <f>I986-J986</f>
        <v/>
      </c>
    </row>
    <row r="987" ht="14.25" customHeight="1" s="54">
      <c r="A987" s="20" t="inlineStr">
        <is>
          <t>BH-40978</t>
        </is>
      </c>
      <c r="B987" s="21" t="n">
        <v>46174</v>
      </c>
      <c r="C987" s="20" t="inlineStr">
        <is>
          <t>C06</t>
        </is>
      </c>
      <c r="D987" s="20" t="inlineStr">
        <is>
          <t>Summit Club Stores</t>
        </is>
      </c>
      <c r="E987" s="20" t="inlineStr">
        <is>
          <t>Club</t>
        </is>
      </c>
      <c r="F987" s="20" t="inlineStr">
        <is>
          <t>Granola</t>
        </is>
      </c>
      <c r="G987" s="22" t="n">
        <v>5024</v>
      </c>
      <c r="H987" s="23" t="n">
        <v>36.6</v>
      </c>
      <c r="I987" s="23" t="n">
        <v>183878.4</v>
      </c>
      <c r="J987" s="23" t="n">
        <v>135396.8</v>
      </c>
      <c r="K987">
        <f>IF(OR(COUNTIF($A$5:A987,A987)&gt;1,G987&lt;0,C987="",B987&lt;'Work 1'!$C$6,B987&gt;'Work 1'!$C$7,H987&gt;'Work 1'!$C$8*AVERAGEIF($F$5:$F$1014,F987,$H$5:$H$1014)),"Excl",IF(B987&gt;='Work 1'!$C$5,"LTM","Prior"))</f>
        <v/>
      </c>
      <c r="L987">
        <f>I987-J987</f>
        <v/>
      </c>
    </row>
    <row r="988" ht="14.25" customHeight="1" s="54">
      <c r="A988" s="20" t="inlineStr">
        <is>
          <t>BH-40979</t>
        </is>
      </c>
      <c r="B988" s="21" t="n">
        <v>46174</v>
      </c>
      <c r="C988" s="20" t="inlineStr">
        <is>
          <t>C06</t>
        </is>
      </c>
      <c r="D988" s="20" t="inlineStr">
        <is>
          <t>Summit Club Stores</t>
        </is>
      </c>
      <c r="E988" s="20" t="inlineStr">
        <is>
          <t>Club</t>
        </is>
      </c>
      <c r="F988" s="20" t="inlineStr">
        <is>
          <t>Nut Butter</t>
        </is>
      </c>
      <c r="G988" s="22" t="n">
        <v>2529</v>
      </c>
      <c r="H988" s="23" t="n">
        <v>48.75</v>
      </c>
      <c r="I988" s="23" t="n">
        <v>123288.75</v>
      </c>
      <c r="J988" s="23" t="n">
        <v>99895.5</v>
      </c>
      <c r="K988">
        <f>IF(OR(COUNTIF($A$5:A988,A988)&gt;1,G988&lt;0,C988="",B988&lt;'Work 1'!$C$6,B988&gt;'Work 1'!$C$7,H988&gt;'Work 1'!$C$8*AVERAGEIF($F$5:$F$1014,F988,$H$5:$H$1014)),"Excl",IF(B988&gt;='Work 1'!$C$5,"LTM","Prior"))</f>
        <v/>
      </c>
      <c r="L988">
        <f>I988-J988</f>
        <v/>
      </c>
    </row>
    <row r="989" ht="14.25" customHeight="1" s="54">
      <c r="A989" s="20" t="inlineStr">
        <is>
          <t>BH-40980</t>
        </is>
      </c>
      <c r="B989" s="21" t="n">
        <v>46174</v>
      </c>
      <c r="C989" s="20" t="inlineStr">
        <is>
          <t>C07</t>
        </is>
      </c>
      <c r="D989" s="20" t="inlineStr">
        <is>
          <t>Bramble Hill Online Store</t>
        </is>
      </c>
      <c r="E989" s="20" t="inlineStr">
        <is>
          <t>Online</t>
        </is>
      </c>
      <c r="F989" s="20" t="inlineStr">
        <is>
          <t>Granola</t>
        </is>
      </c>
      <c r="G989" s="22" t="n">
        <v>3374</v>
      </c>
      <c r="H989" s="23" t="n">
        <v>49.4</v>
      </c>
      <c r="I989" s="23" t="n">
        <v>166675.6</v>
      </c>
      <c r="J989" s="23" t="n">
        <v>90929.3</v>
      </c>
      <c r="K989">
        <f>IF(OR(COUNTIF($A$5:A989,A989)&gt;1,G989&lt;0,C989="",B989&lt;'Work 1'!$C$6,B989&gt;'Work 1'!$C$7,H989&gt;'Work 1'!$C$8*AVERAGEIF($F$5:$F$1014,F989,$H$5:$H$1014)),"Excl",IF(B989&gt;='Work 1'!$C$5,"LTM","Prior"))</f>
        <v/>
      </c>
      <c r="L989">
        <f>I989-J989</f>
        <v/>
      </c>
    </row>
    <row r="990" ht="14.25" customHeight="1" s="54">
      <c r="A990" s="20" t="inlineStr">
        <is>
          <t>BH-40981</t>
        </is>
      </c>
      <c r="B990" s="21" t="n">
        <v>46174</v>
      </c>
      <c r="C990" s="20" t="inlineStr">
        <is>
          <t>C07</t>
        </is>
      </c>
      <c r="D990" s="20" t="inlineStr">
        <is>
          <t>Bramble Hill Online Store</t>
        </is>
      </c>
      <c r="E990" s="20" t="inlineStr">
        <is>
          <t>Online</t>
        </is>
      </c>
      <c r="F990" s="20" t="inlineStr">
        <is>
          <t>Nut Butter</t>
        </is>
      </c>
      <c r="G990" s="22" t="n">
        <v>1861</v>
      </c>
      <c r="H990" s="23" t="n">
        <v>64.40000000000001</v>
      </c>
      <c r="I990" s="23" t="n">
        <v>119848.4</v>
      </c>
      <c r="J990" s="23" t="n">
        <v>73509.5</v>
      </c>
      <c r="K990">
        <f>IF(OR(COUNTIF($A$5:A990,A990)&gt;1,G990&lt;0,C990="",B990&lt;'Work 1'!$C$6,B990&gt;'Work 1'!$C$7,H990&gt;'Work 1'!$C$8*AVERAGEIF($F$5:$F$1014,F990,$H$5:$H$1014)),"Excl",IF(B990&gt;='Work 1'!$C$5,"LTM","Prior"))</f>
        <v/>
      </c>
      <c r="L990">
        <f>I990-J990</f>
        <v/>
      </c>
    </row>
    <row r="991" ht="14.25" customHeight="1" s="54">
      <c r="A991" s="20" t="inlineStr">
        <is>
          <t>BH-40982</t>
        </is>
      </c>
      <c r="B991" s="21" t="n">
        <v>46174</v>
      </c>
      <c r="C991" s="20" t="inlineStr">
        <is>
          <t>C07</t>
        </is>
      </c>
      <c r="D991" s="20" t="inlineStr">
        <is>
          <t>Bramble Hill Online Store</t>
        </is>
      </c>
      <c r="E991" s="20" t="inlineStr">
        <is>
          <t>Online</t>
        </is>
      </c>
      <c r="F991" s="20" t="inlineStr">
        <is>
          <t>Snack Bars</t>
        </is>
      </c>
      <c r="G991" s="22" t="n">
        <v>2461</v>
      </c>
      <c r="H991" s="23" t="n">
        <v>39.3</v>
      </c>
      <c r="I991" s="23" t="n">
        <v>96717.3</v>
      </c>
      <c r="J991" s="23" t="n">
        <v>50327.45</v>
      </c>
      <c r="K991">
        <f>IF(OR(COUNTIF($A$5:A991,A991)&gt;1,G991&lt;0,C991="",B991&lt;'Work 1'!$C$6,B991&gt;'Work 1'!$C$7,H991&gt;'Work 1'!$C$8*AVERAGEIF($F$5:$F$1014,F991,$H$5:$H$1014)),"Excl",IF(B991&gt;='Work 1'!$C$5,"LTM","Prior"))</f>
        <v/>
      </c>
      <c r="L991">
        <f>I991-J991</f>
        <v/>
      </c>
    </row>
    <row r="992" ht="14.25" customHeight="1" s="54">
      <c r="A992" s="20" t="inlineStr">
        <is>
          <t>BH-40983</t>
        </is>
      </c>
      <c r="B992" s="21" t="n">
        <v>46174</v>
      </c>
      <c r="C992" s="20" t="inlineStr">
        <is>
          <t>C08</t>
        </is>
      </c>
      <c r="D992" s="20" t="inlineStr">
        <is>
          <t>Online Marketplace</t>
        </is>
      </c>
      <c r="E992" s="20" t="inlineStr">
        <is>
          <t>Online</t>
        </is>
      </c>
      <c r="F992" s="20" t="inlineStr">
        <is>
          <t>Granola</t>
        </is>
      </c>
      <c r="G992" s="22" t="n">
        <v>3870</v>
      </c>
      <c r="H992" s="23" t="n">
        <v>43.47</v>
      </c>
      <c r="I992" s="23" t="n">
        <v>168228.9</v>
      </c>
      <c r="J992" s="23" t="n">
        <v>104296.5</v>
      </c>
      <c r="K992">
        <f>IF(OR(COUNTIF($A$5:A992,A992)&gt;1,G992&lt;0,C992="",B992&lt;'Work 1'!$C$6,B992&gt;'Work 1'!$C$7,H992&gt;'Work 1'!$C$8*AVERAGEIF($F$5:$F$1014,F992,$H$5:$H$1014)),"Excl",IF(B992&gt;='Work 1'!$C$5,"LTM","Prior"))</f>
        <v/>
      </c>
      <c r="L992">
        <f>I992-J992</f>
        <v/>
      </c>
    </row>
    <row r="993" ht="14.25" customHeight="1" s="54">
      <c r="A993" s="20" t="inlineStr">
        <is>
          <t>BH-40984</t>
        </is>
      </c>
      <c r="B993" s="21" t="n">
        <v>46174</v>
      </c>
      <c r="C993" s="20" t="inlineStr">
        <is>
          <t>C08</t>
        </is>
      </c>
      <c r="D993" s="20" t="inlineStr">
        <is>
          <t>Online Marketplace</t>
        </is>
      </c>
      <c r="E993" s="20" t="inlineStr">
        <is>
          <t>Online</t>
        </is>
      </c>
      <c r="F993" s="20" t="inlineStr">
        <is>
          <t>Nut Butter</t>
        </is>
      </c>
      <c r="G993" s="22" t="n">
        <v>2109</v>
      </c>
      <c r="H993" s="23" t="n">
        <v>56.67</v>
      </c>
      <c r="I993" s="23" t="n">
        <v>119517.03</v>
      </c>
      <c r="J993" s="23" t="n">
        <v>83305.5</v>
      </c>
      <c r="K993">
        <f>IF(OR(COUNTIF($A$5:A993,A993)&gt;1,G993&lt;0,C993="",B993&lt;'Work 1'!$C$6,B993&gt;'Work 1'!$C$7,H993&gt;'Work 1'!$C$8*AVERAGEIF($F$5:$F$1014,F993,$H$5:$H$1014)),"Excl",IF(B993&gt;='Work 1'!$C$5,"LTM","Prior"))</f>
        <v/>
      </c>
      <c r="L993">
        <f>I993-J993</f>
        <v/>
      </c>
    </row>
    <row r="994" ht="14.25" customHeight="1" s="54">
      <c r="A994" s="20" t="inlineStr">
        <is>
          <t>BH-40985</t>
        </is>
      </c>
      <c r="B994" s="21" t="n">
        <v>46174</v>
      </c>
      <c r="C994" s="20" t="inlineStr">
        <is>
          <t>C08</t>
        </is>
      </c>
      <c r="D994" s="20" t="inlineStr">
        <is>
          <t>Online Marketplace</t>
        </is>
      </c>
      <c r="E994" s="20" t="inlineStr">
        <is>
          <t>Online</t>
        </is>
      </c>
      <c r="F994" s="20" t="inlineStr">
        <is>
          <t>Snack Bars</t>
        </is>
      </c>
      <c r="G994" s="22" t="n">
        <v>3324</v>
      </c>
      <c r="H994" s="23" t="n">
        <v>34.58</v>
      </c>
      <c r="I994" s="23" t="n">
        <v>114943.92</v>
      </c>
      <c r="J994" s="23" t="n">
        <v>67975.8</v>
      </c>
      <c r="K994">
        <f>IF(OR(COUNTIF($A$5:A994,A994)&gt;1,G994&lt;0,C994="",B994&lt;'Work 1'!$C$6,B994&gt;'Work 1'!$C$7,H994&gt;'Work 1'!$C$8*AVERAGEIF($F$5:$F$1014,F994,$H$5:$H$1014)),"Excl",IF(B994&gt;='Work 1'!$C$5,"LTM","Prior"))</f>
        <v/>
      </c>
      <c r="L994">
        <f>I994-J994</f>
        <v/>
      </c>
    </row>
    <row r="995" ht="14.25" customHeight="1" s="54">
      <c r="A995" s="20" t="inlineStr">
        <is>
          <t>BH-40986</t>
        </is>
      </c>
      <c r="B995" s="21" t="n">
        <v>46174</v>
      </c>
      <c r="C995" s="20" t="inlineStr">
        <is>
          <t>C09</t>
        </is>
      </c>
      <c r="D995" s="20" t="inlineStr">
        <is>
          <t>Maple Ridge Grocers</t>
        </is>
      </c>
      <c r="E995" s="20" t="inlineStr">
        <is>
          <t>Grocery</t>
        </is>
      </c>
      <c r="F995" s="20" t="inlineStr">
        <is>
          <t>Granola</t>
        </is>
      </c>
      <c r="G995" s="22" t="n">
        <v>1606</v>
      </c>
      <c r="H995" s="23" t="n">
        <v>43.05</v>
      </c>
      <c r="I995" s="23" t="n">
        <v>69138.3</v>
      </c>
      <c r="J995" s="23" t="n">
        <v>43281.7</v>
      </c>
      <c r="K995">
        <f>IF(OR(COUNTIF($A$5:A995,A995)&gt;1,G995&lt;0,C995="",B995&lt;'Work 1'!$C$6,B995&gt;'Work 1'!$C$7,H995&gt;'Work 1'!$C$8*AVERAGEIF($F$5:$F$1014,F995,$H$5:$H$1014)),"Excl",IF(B995&gt;='Work 1'!$C$5,"LTM","Prior"))</f>
        <v/>
      </c>
      <c r="L995">
        <f>I995-J995</f>
        <v/>
      </c>
    </row>
    <row r="996" ht="14.25" customHeight="1" s="54">
      <c r="A996" s="20" t="inlineStr">
        <is>
          <t>BH-40987</t>
        </is>
      </c>
      <c r="B996" s="21" t="n">
        <v>46174</v>
      </c>
      <c r="C996" s="20" t="inlineStr">
        <is>
          <t>C09</t>
        </is>
      </c>
      <c r="D996" s="20" t="inlineStr">
        <is>
          <t>Maple Ridge Grocers</t>
        </is>
      </c>
      <c r="E996" s="20" t="inlineStr">
        <is>
          <t>Grocery</t>
        </is>
      </c>
      <c r="F996" s="20" t="inlineStr">
        <is>
          <t>Snack Bars</t>
        </is>
      </c>
      <c r="G996" s="22" t="n">
        <v>1225</v>
      </c>
      <c r="H996" s="23" t="n">
        <v>33.35</v>
      </c>
      <c r="I996" s="23" t="n">
        <v>40853.75</v>
      </c>
      <c r="J996" s="23" t="n">
        <v>25051.25</v>
      </c>
      <c r="K996">
        <f>IF(OR(COUNTIF($A$5:A996,A996)&gt;1,G996&lt;0,C996="",B996&lt;'Work 1'!$C$6,B996&gt;'Work 1'!$C$7,H996&gt;'Work 1'!$C$8*AVERAGEIF($F$5:$F$1014,F996,$H$5:$H$1014)),"Excl",IF(B996&gt;='Work 1'!$C$5,"LTM","Prior"))</f>
        <v/>
      </c>
      <c r="L996">
        <f>I996-J996</f>
        <v/>
      </c>
    </row>
    <row r="997" ht="14.25" customHeight="1" s="54">
      <c r="A997" s="20" t="inlineStr">
        <is>
          <t>BH-40988</t>
        </is>
      </c>
      <c r="B997" s="21" t="n">
        <v>46174</v>
      </c>
      <c r="C997" s="20" t="inlineStr">
        <is>
          <t>C10</t>
        </is>
      </c>
      <c r="D997" s="20" t="inlineStr">
        <is>
          <t>Lakeshore Foods</t>
        </is>
      </c>
      <c r="E997" s="20" t="inlineStr">
        <is>
          <t>Grocery</t>
        </is>
      </c>
      <c r="F997" s="20" t="inlineStr">
        <is>
          <t>Granola</t>
        </is>
      </c>
      <c r="G997" s="22" t="n">
        <v>1278</v>
      </c>
      <c r="H997" s="23" t="n">
        <v>43.05</v>
      </c>
      <c r="I997" s="23" t="n">
        <v>55017.9</v>
      </c>
      <c r="J997" s="23" t="n">
        <v>34442.1</v>
      </c>
      <c r="K997">
        <f>IF(OR(COUNTIF($A$5:A997,A997)&gt;1,G997&lt;0,C997="",B997&lt;'Work 1'!$C$6,B997&gt;'Work 1'!$C$7,H997&gt;'Work 1'!$C$8*AVERAGEIF($F$5:$F$1014,F997,$H$5:$H$1014)),"Excl",IF(B997&gt;='Work 1'!$C$5,"LTM","Prior"))</f>
        <v/>
      </c>
      <c r="L997">
        <f>I997-J997</f>
        <v/>
      </c>
    </row>
    <row r="998" ht="14.25" customHeight="1" s="54">
      <c r="A998" s="20" t="inlineStr">
        <is>
          <t>BH-40989</t>
        </is>
      </c>
      <c r="B998" s="21" t="n">
        <v>46174</v>
      </c>
      <c r="C998" s="20" t="inlineStr">
        <is>
          <t>C10</t>
        </is>
      </c>
      <c r="D998" s="20" t="inlineStr">
        <is>
          <t>Lakeshore Foods</t>
        </is>
      </c>
      <c r="E998" s="20" t="inlineStr">
        <is>
          <t>Grocery</t>
        </is>
      </c>
      <c r="F998" s="20" t="inlineStr">
        <is>
          <t>Nut Butter</t>
        </is>
      </c>
      <c r="G998" s="22" t="n">
        <v>550</v>
      </c>
      <c r="H998" s="23" t="n">
        <v>57.25</v>
      </c>
      <c r="I998" s="23" t="n">
        <v>31487.5</v>
      </c>
      <c r="J998" s="23" t="n">
        <v>21725</v>
      </c>
      <c r="K998">
        <f>IF(OR(COUNTIF($A$5:A998,A998)&gt;1,G998&lt;0,C998="",B998&lt;'Work 1'!$C$6,B998&gt;'Work 1'!$C$7,H998&gt;'Work 1'!$C$8*AVERAGEIF($F$5:$F$1014,F998,$H$5:$H$1014)),"Excl",IF(B998&gt;='Work 1'!$C$5,"LTM","Prior"))</f>
        <v/>
      </c>
      <c r="L998">
        <f>I998-J998</f>
        <v/>
      </c>
    </row>
    <row r="999" ht="14.25" customHeight="1" s="54">
      <c r="A999" s="20" t="inlineStr">
        <is>
          <t>BH-40990</t>
        </is>
      </c>
      <c r="B999" s="21" t="n">
        <v>46174</v>
      </c>
      <c r="C999" s="20" t="inlineStr">
        <is>
          <t>C11</t>
        </is>
      </c>
      <c r="D999" s="20" t="inlineStr">
        <is>
          <t>Copper Valley Market</t>
        </is>
      </c>
      <c r="E999" s="20" t="inlineStr">
        <is>
          <t>Grocery</t>
        </is>
      </c>
      <c r="F999" s="20" t="inlineStr">
        <is>
          <t>Granola</t>
        </is>
      </c>
      <c r="G999" s="22" t="n">
        <v>1211</v>
      </c>
      <c r="H999" s="23" t="n">
        <v>43.05</v>
      </c>
      <c r="I999" s="23" t="n">
        <v>52133.55</v>
      </c>
      <c r="J999" s="23" t="n">
        <v>32636.45</v>
      </c>
      <c r="K999">
        <f>IF(OR(COUNTIF($A$5:A999,A999)&gt;1,G999&lt;0,C999="",B999&lt;'Work 1'!$C$6,B999&gt;'Work 1'!$C$7,H999&gt;'Work 1'!$C$8*AVERAGEIF($F$5:$F$1014,F999,$H$5:$H$1014)),"Excl",IF(B999&gt;='Work 1'!$C$5,"LTM","Prior"))</f>
        <v/>
      </c>
      <c r="L999">
        <f>I999-J999</f>
        <v/>
      </c>
    </row>
    <row r="1000" ht="14.25" customHeight="1" s="54">
      <c r="A1000" s="20" t="inlineStr">
        <is>
          <t>BH-40991</t>
        </is>
      </c>
      <c r="B1000" s="21" t="n">
        <v>46174</v>
      </c>
      <c r="C1000" s="20" t="inlineStr">
        <is>
          <t>C11</t>
        </is>
      </c>
      <c r="D1000" s="20" t="inlineStr">
        <is>
          <t>Copper Valley Market</t>
        </is>
      </c>
      <c r="E1000" s="20" t="inlineStr">
        <is>
          <t>Grocery</t>
        </is>
      </c>
      <c r="F1000" s="20" t="inlineStr">
        <is>
          <t>Snack Bars</t>
        </is>
      </c>
      <c r="G1000" s="22" t="n">
        <v>1268</v>
      </c>
      <c r="H1000" s="23" t="n">
        <v>33.35</v>
      </c>
      <c r="I1000" s="23" t="n">
        <v>42287.8</v>
      </c>
      <c r="J1000" s="23" t="n">
        <v>25930.6</v>
      </c>
      <c r="K1000">
        <f>IF(OR(COUNTIF($A$5:A1000,A1000)&gt;1,G1000&lt;0,C1000="",B1000&lt;'Work 1'!$C$6,B1000&gt;'Work 1'!$C$7,H1000&gt;'Work 1'!$C$8*AVERAGEIF($F$5:$F$1014,F1000,$H$5:$H$1014)),"Excl",IF(B1000&gt;='Work 1'!$C$5,"LTM","Prior"))</f>
        <v/>
      </c>
      <c r="L1000">
        <f>I1000-J1000</f>
        <v/>
      </c>
    </row>
    <row r="1001" ht="14.25" customHeight="1" s="54">
      <c r="A1001" s="20" t="inlineStr">
        <is>
          <t>BH-40992</t>
        </is>
      </c>
      <c r="B1001" s="21" t="n">
        <v>46174</v>
      </c>
      <c r="C1001" s="20" t="inlineStr">
        <is>
          <t>C12</t>
        </is>
      </c>
      <c r="D1001" s="20" t="inlineStr">
        <is>
          <t>Riverbend Grocery</t>
        </is>
      </c>
      <c r="E1001" s="20" t="inlineStr">
        <is>
          <t>Grocery</t>
        </is>
      </c>
      <c r="F1001" s="20" t="inlineStr">
        <is>
          <t>Granola</t>
        </is>
      </c>
      <c r="G1001" s="22" t="n">
        <v>1729</v>
      </c>
      <c r="H1001" s="23" t="n">
        <v>43.05</v>
      </c>
      <c r="I1001" s="23" t="n">
        <v>74433.45</v>
      </c>
      <c r="J1001" s="23" t="n">
        <v>46596.55</v>
      </c>
      <c r="K1001">
        <f>IF(OR(COUNTIF($A$5:A1001,A1001)&gt;1,G1001&lt;0,C1001="",B1001&lt;'Work 1'!$C$6,B1001&gt;'Work 1'!$C$7,H1001&gt;'Work 1'!$C$8*AVERAGEIF($F$5:$F$1014,F1001,$H$5:$H$1014)),"Excl",IF(B1001&gt;='Work 1'!$C$5,"LTM","Prior"))</f>
        <v/>
      </c>
      <c r="L1001">
        <f>I1001-J1001</f>
        <v/>
      </c>
    </row>
    <row r="1002" ht="14.25" customHeight="1" s="54">
      <c r="A1002" s="20" t="inlineStr">
        <is>
          <t>BH-40993</t>
        </is>
      </c>
      <c r="B1002" s="21" t="n">
        <v>46174</v>
      </c>
      <c r="C1002" s="20" t="inlineStr">
        <is>
          <t>C12</t>
        </is>
      </c>
      <c r="D1002" s="20" t="inlineStr">
        <is>
          <t>Riverbend Grocery</t>
        </is>
      </c>
      <c r="E1002" s="20" t="inlineStr">
        <is>
          <t>Grocery</t>
        </is>
      </c>
      <c r="F1002" s="20" t="inlineStr">
        <is>
          <t>Nut Butter</t>
        </is>
      </c>
      <c r="G1002" s="22" t="n">
        <v>722</v>
      </c>
      <c r="H1002" s="23" t="n">
        <v>57.25</v>
      </c>
      <c r="I1002" s="23" t="n">
        <v>41334.5</v>
      </c>
      <c r="J1002" s="23" t="n">
        <v>28519</v>
      </c>
      <c r="K1002">
        <f>IF(OR(COUNTIF($A$5:A1002,A1002)&gt;1,G1002&lt;0,C1002="",B1002&lt;'Work 1'!$C$6,B1002&gt;'Work 1'!$C$7,H1002&gt;'Work 1'!$C$8*AVERAGEIF($F$5:$F$1014,F1002,$H$5:$H$1014)),"Excl",IF(B1002&gt;='Work 1'!$C$5,"LTM","Prior"))</f>
        <v/>
      </c>
      <c r="L1002">
        <f>I1002-J1002</f>
        <v/>
      </c>
    </row>
    <row r="1003" ht="14.25" customHeight="1" s="54">
      <c r="A1003" s="20" t="inlineStr">
        <is>
          <t>BH-40994</t>
        </is>
      </c>
      <c r="B1003" s="21" t="n">
        <v>46174</v>
      </c>
      <c r="C1003" s="20" t="inlineStr">
        <is>
          <t>C13</t>
        </is>
      </c>
      <c r="D1003" s="20" t="inlineStr">
        <is>
          <t>Sunfield Markets</t>
        </is>
      </c>
      <c r="E1003" s="20" t="inlineStr">
        <is>
          <t>Grocery</t>
        </is>
      </c>
      <c r="F1003" s="20" t="inlineStr">
        <is>
          <t>Granola</t>
        </is>
      </c>
      <c r="G1003" s="22" t="n">
        <v>978</v>
      </c>
      <c r="H1003" s="23" t="n">
        <v>43.05</v>
      </c>
      <c r="I1003" s="23" t="n">
        <v>42102.9</v>
      </c>
      <c r="J1003" s="23" t="n">
        <v>26357.1</v>
      </c>
      <c r="K1003">
        <f>IF(OR(COUNTIF($A$5:A1003,A1003)&gt;1,G1003&lt;0,C1003="",B1003&lt;'Work 1'!$C$6,B1003&gt;'Work 1'!$C$7,H1003&gt;'Work 1'!$C$8*AVERAGEIF($F$5:$F$1014,F1003,$H$5:$H$1014)),"Excl",IF(B1003&gt;='Work 1'!$C$5,"LTM","Prior"))</f>
        <v/>
      </c>
      <c r="L1003">
        <f>I1003-J1003</f>
        <v/>
      </c>
    </row>
    <row r="1004" ht="14.25" customHeight="1" s="54">
      <c r="A1004" s="20" t="inlineStr">
        <is>
          <t>BH-40995</t>
        </is>
      </c>
      <c r="B1004" s="21" t="n">
        <v>46174</v>
      </c>
      <c r="C1004" s="20" t="inlineStr">
        <is>
          <t>C13</t>
        </is>
      </c>
      <c r="D1004" s="20" t="inlineStr">
        <is>
          <t>Sunfield Markets</t>
        </is>
      </c>
      <c r="E1004" s="20" t="inlineStr">
        <is>
          <t>Grocery</t>
        </is>
      </c>
      <c r="F1004" s="20" t="inlineStr">
        <is>
          <t>Snack Bars</t>
        </is>
      </c>
      <c r="G1004" s="22" t="n">
        <v>1082</v>
      </c>
      <c r="H1004" s="23" t="n">
        <v>33.35</v>
      </c>
      <c r="I1004" s="23" t="n">
        <v>36084.7</v>
      </c>
      <c r="J1004" s="23" t="n">
        <v>22126.9</v>
      </c>
      <c r="K1004">
        <f>IF(OR(COUNTIF($A$5:A1004,A1004)&gt;1,G1004&lt;0,C1004="",B1004&lt;'Work 1'!$C$6,B1004&gt;'Work 1'!$C$7,H1004&gt;'Work 1'!$C$8*AVERAGEIF($F$5:$F$1014,F1004,$H$5:$H$1014)),"Excl",IF(B1004&gt;='Work 1'!$C$5,"LTM","Prior"))</f>
        <v/>
      </c>
      <c r="L1004">
        <f>I1004-J1004</f>
        <v/>
      </c>
    </row>
    <row r="1005" ht="14.25" customHeight="1" s="54">
      <c r="A1005" s="20" t="inlineStr">
        <is>
          <t>BH-40996</t>
        </is>
      </c>
      <c r="B1005" s="21" t="n">
        <v>46174</v>
      </c>
      <c r="C1005" s="20" t="inlineStr">
        <is>
          <t>C14</t>
        </is>
      </c>
      <c r="D1005" s="20" t="inlineStr">
        <is>
          <t>Oak Hollow Foods</t>
        </is>
      </c>
      <c r="E1005" s="20" t="inlineStr">
        <is>
          <t>Grocery</t>
        </is>
      </c>
      <c r="F1005" s="20" t="inlineStr">
        <is>
          <t>Granola</t>
        </is>
      </c>
      <c r="G1005" s="22" t="n">
        <v>1042</v>
      </c>
      <c r="H1005" s="23" t="n">
        <v>43.05</v>
      </c>
      <c r="I1005" s="23" t="n">
        <v>44858.1</v>
      </c>
      <c r="J1005" s="23" t="n">
        <v>28081.9</v>
      </c>
      <c r="K1005">
        <f>IF(OR(COUNTIF($A$5:A1005,A1005)&gt;1,G1005&lt;0,C1005="",B1005&lt;'Work 1'!$C$6,B1005&gt;'Work 1'!$C$7,H1005&gt;'Work 1'!$C$8*AVERAGEIF($F$5:$F$1014,F1005,$H$5:$H$1014)),"Excl",IF(B1005&gt;='Work 1'!$C$5,"LTM","Prior"))</f>
        <v/>
      </c>
      <c r="L1005">
        <f>I1005-J1005</f>
        <v/>
      </c>
    </row>
    <row r="1006" ht="14.25" customHeight="1" s="54">
      <c r="A1006" s="20" t="inlineStr">
        <is>
          <t>BH-40997</t>
        </is>
      </c>
      <c r="B1006" s="21" t="n">
        <v>46174</v>
      </c>
      <c r="C1006" s="20" t="inlineStr">
        <is>
          <t>C14</t>
        </is>
      </c>
      <c r="D1006" s="20" t="inlineStr">
        <is>
          <t>Oak Hollow Foods</t>
        </is>
      </c>
      <c r="E1006" s="20" t="inlineStr">
        <is>
          <t>Grocery</t>
        </is>
      </c>
      <c r="F1006" s="20" t="inlineStr">
        <is>
          <t>Nut Butter</t>
        </is>
      </c>
      <c r="G1006" s="22" t="n">
        <v>382</v>
      </c>
      <c r="H1006" s="23" t="n">
        <v>57.25</v>
      </c>
      <c r="I1006" s="23" t="n">
        <v>21869.5</v>
      </c>
      <c r="J1006" s="23" t="n">
        <v>15089</v>
      </c>
      <c r="K1006">
        <f>IF(OR(COUNTIF($A$5:A1006,A1006)&gt;1,G1006&lt;0,C1006="",B1006&lt;'Work 1'!$C$6,B1006&gt;'Work 1'!$C$7,H1006&gt;'Work 1'!$C$8*AVERAGEIF($F$5:$F$1014,F1006,$H$5:$H$1014)),"Excl",IF(B1006&gt;='Work 1'!$C$5,"LTM","Prior"))</f>
        <v/>
      </c>
      <c r="L1006">
        <f>I1006-J1006</f>
        <v/>
      </c>
    </row>
    <row r="1007" ht="14.25" customHeight="1" s="54">
      <c r="A1007" s="20" t="inlineStr">
        <is>
          <t>BH-40998</t>
        </is>
      </c>
      <c r="B1007" s="21" t="n">
        <v>46174</v>
      </c>
      <c r="C1007" s="20" t="inlineStr">
        <is>
          <t>C14</t>
        </is>
      </c>
      <c r="D1007" s="20" t="inlineStr">
        <is>
          <t>Oak Hollow Foods</t>
        </is>
      </c>
      <c r="E1007" s="20" t="inlineStr">
        <is>
          <t>Grocery</t>
        </is>
      </c>
      <c r="F1007" s="20" t="inlineStr">
        <is>
          <t>Snack Bars</t>
        </is>
      </c>
      <c r="G1007" s="22" t="n">
        <v>672</v>
      </c>
      <c r="H1007" s="23" t="n">
        <v>33.35</v>
      </c>
      <c r="I1007" s="23" t="n">
        <v>22411.2</v>
      </c>
      <c r="J1007" s="23" t="n">
        <v>13742.4</v>
      </c>
      <c r="K1007">
        <f>IF(OR(COUNTIF($A$5:A1007,A1007)&gt;1,G1007&lt;0,C1007="",B1007&lt;'Work 1'!$C$6,B1007&gt;'Work 1'!$C$7,H1007&gt;'Work 1'!$C$8*AVERAGEIF($F$5:$F$1014,F1007,$H$5:$H$1014)),"Excl",IF(B1007&gt;='Work 1'!$C$5,"LTM","Prior"))</f>
        <v/>
      </c>
      <c r="L1007">
        <f>I1007-J1007</f>
        <v/>
      </c>
    </row>
    <row r="1008" ht="14.25" customHeight="1" s="54">
      <c r="A1008" s="20" t="inlineStr">
        <is>
          <t>BH-40999</t>
        </is>
      </c>
      <c r="B1008" s="21" t="n">
        <v>46174</v>
      </c>
      <c r="C1008" s="20" t="inlineStr">
        <is>
          <t>C15</t>
        </is>
      </c>
      <c r="D1008" s="20" t="inlineStr">
        <is>
          <t>Prairie Fresh</t>
        </is>
      </c>
      <c r="E1008" s="20" t="inlineStr">
        <is>
          <t>Grocery</t>
        </is>
      </c>
      <c r="F1008" s="20" t="inlineStr">
        <is>
          <t>Granola</t>
        </is>
      </c>
      <c r="G1008" s="22" t="n">
        <v>1297</v>
      </c>
      <c r="H1008" s="23" t="n">
        <v>43.05</v>
      </c>
      <c r="I1008" s="23" t="n">
        <v>55835.85</v>
      </c>
      <c r="J1008" s="23" t="n">
        <v>34954.15</v>
      </c>
      <c r="K1008">
        <f>IF(OR(COUNTIF($A$5:A1008,A1008)&gt;1,G1008&lt;0,C1008="",B1008&lt;'Work 1'!$C$6,B1008&gt;'Work 1'!$C$7,H1008&gt;'Work 1'!$C$8*AVERAGEIF($F$5:$F$1014,F1008,$H$5:$H$1014)),"Excl",IF(B1008&gt;='Work 1'!$C$5,"LTM","Prior"))</f>
        <v/>
      </c>
      <c r="L1008">
        <f>I1008-J1008</f>
        <v/>
      </c>
    </row>
    <row r="1009" ht="14.25" customHeight="1" s="54">
      <c r="A1009" s="20" t="inlineStr">
        <is>
          <t>BH-41000</t>
        </is>
      </c>
      <c r="B1009" s="21" t="n">
        <v>46174</v>
      </c>
      <c r="C1009" s="20" t="inlineStr">
        <is>
          <t>C15</t>
        </is>
      </c>
      <c r="D1009" s="20" t="inlineStr">
        <is>
          <t>Prairie Fresh</t>
        </is>
      </c>
      <c r="E1009" s="20" t="inlineStr">
        <is>
          <t>Grocery</t>
        </is>
      </c>
      <c r="F1009" s="20" t="inlineStr">
        <is>
          <t>Snack Bars</t>
        </is>
      </c>
      <c r="G1009" s="22" t="n">
        <v>992</v>
      </c>
      <c r="H1009" s="23" t="n">
        <v>33.35</v>
      </c>
      <c r="I1009" s="23" t="n">
        <v>33083.2</v>
      </c>
      <c r="J1009" s="23" t="n">
        <v>20286.4</v>
      </c>
      <c r="K1009">
        <f>IF(OR(COUNTIF($A$5:A1009,A1009)&gt;1,G1009&lt;0,C1009="",B1009&lt;'Work 1'!$C$6,B1009&gt;'Work 1'!$C$7,H1009&gt;'Work 1'!$C$8*AVERAGEIF($F$5:$F$1014,F1009,$H$5:$H$1014)),"Excl",IF(B1009&gt;='Work 1'!$C$5,"LTM","Prior"))</f>
        <v/>
      </c>
      <c r="L1009">
        <f>I1009-J1009</f>
        <v/>
      </c>
    </row>
    <row r="1010" ht="14.25" customHeight="1" s="54">
      <c r="A1010" s="20" t="inlineStr">
        <is>
          <t>BH-41001</t>
        </is>
      </c>
      <c r="B1010" s="21" t="n">
        <v>46174</v>
      </c>
      <c r="C1010" s="20" t="inlineStr">
        <is>
          <t>C16</t>
        </is>
      </c>
      <c r="D1010" s="20" t="inlineStr">
        <is>
          <t>Bay Street Market</t>
        </is>
      </c>
      <c r="E1010" s="20" t="inlineStr">
        <is>
          <t>Grocery</t>
        </is>
      </c>
      <c r="F1010" s="20" t="inlineStr">
        <is>
          <t>Granola</t>
        </is>
      </c>
      <c r="G1010" s="22" t="n">
        <v>990</v>
      </c>
      <c r="H1010" s="23" t="n">
        <v>43.05</v>
      </c>
      <c r="I1010" s="23" t="n">
        <v>42619.5</v>
      </c>
      <c r="J1010" s="23" t="n">
        <v>26680.5</v>
      </c>
      <c r="K1010">
        <f>IF(OR(COUNTIF($A$5:A1010,A1010)&gt;1,G1010&lt;0,C1010="",B1010&lt;'Work 1'!$C$6,B1010&gt;'Work 1'!$C$7,H1010&gt;'Work 1'!$C$8*AVERAGEIF($F$5:$F$1014,F1010,$H$5:$H$1014)),"Excl",IF(B1010&gt;='Work 1'!$C$5,"LTM","Prior"))</f>
        <v/>
      </c>
      <c r="L1010">
        <f>I1010-J1010</f>
        <v/>
      </c>
    </row>
    <row r="1011" ht="14.25" customHeight="1" s="54">
      <c r="A1011" s="20" t="inlineStr">
        <is>
          <t>BH-41002</t>
        </is>
      </c>
      <c r="B1011" s="21" t="n">
        <v>46174</v>
      </c>
      <c r="C1011" s="20" t="inlineStr">
        <is>
          <t>C16</t>
        </is>
      </c>
      <c r="D1011" s="20" t="inlineStr">
        <is>
          <t>Bay Street Market</t>
        </is>
      </c>
      <c r="E1011" s="20" t="inlineStr">
        <is>
          <t>Grocery</t>
        </is>
      </c>
      <c r="F1011" s="20" t="inlineStr">
        <is>
          <t>Nut Butter</t>
        </is>
      </c>
      <c r="G1011" s="22" t="n">
        <v>575</v>
      </c>
      <c r="H1011" s="23" t="n">
        <v>57.25</v>
      </c>
      <c r="I1011" s="23" t="n">
        <v>32918.75</v>
      </c>
      <c r="J1011" s="23" t="n">
        <v>22712.5</v>
      </c>
      <c r="K1011">
        <f>IF(OR(COUNTIF($A$5:A1011,A1011)&gt;1,G1011&lt;0,C1011="",B1011&lt;'Work 1'!$C$6,B1011&gt;'Work 1'!$C$7,H1011&gt;'Work 1'!$C$8*AVERAGEIF($F$5:$F$1014,F1011,$H$5:$H$1014)),"Excl",IF(B1011&gt;='Work 1'!$C$5,"LTM","Prior"))</f>
        <v/>
      </c>
      <c r="L1011">
        <f>I1011-J1011</f>
        <v/>
      </c>
    </row>
    <row r="1012" ht="14.25" customHeight="1" s="54">
      <c r="A1012" s="20" t="inlineStr">
        <is>
          <t>BH-41003</t>
        </is>
      </c>
      <c r="B1012" s="21" t="n">
        <v>46174</v>
      </c>
      <c r="C1012" s="20" t="inlineStr">
        <is>
          <t>C19</t>
        </is>
      </c>
      <c r="D1012" s="20" t="inlineStr">
        <is>
          <t>Greenway Markets</t>
        </is>
      </c>
      <c r="E1012" s="20" t="inlineStr">
        <is>
          <t>Grocery</t>
        </is>
      </c>
      <c r="F1012" s="20" t="inlineStr">
        <is>
          <t>Granola</t>
        </is>
      </c>
      <c r="G1012" s="22" t="n">
        <v>1445</v>
      </c>
      <c r="H1012" s="23" t="n">
        <v>43.05</v>
      </c>
      <c r="I1012" s="23" t="n">
        <v>62207.25</v>
      </c>
      <c r="J1012" s="23" t="n">
        <v>38942.75</v>
      </c>
      <c r="K1012">
        <f>IF(OR(COUNTIF($A$5:A1012,A1012)&gt;1,G1012&lt;0,C1012="",B1012&lt;'Work 1'!$C$6,B1012&gt;'Work 1'!$C$7,H1012&gt;'Work 1'!$C$8*AVERAGEIF($F$5:$F$1014,F1012,$H$5:$H$1014)),"Excl",IF(B1012&gt;='Work 1'!$C$5,"LTM","Prior"))</f>
        <v/>
      </c>
      <c r="L1012">
        <f>I1012-J1012</f>
        <v/>
      </c>
    </row>
    <row r="1013" ht="14.25" customHeight="1" s="54">
      <c r="A1013" s="20" t="inlineStr">
        <is>
          <t>BH-41004</t>
        </is>
      </c>
      <c r="B1013" s="21" t="n">
        <v>46174</v>
      </c>
      <c r="C1013" s="20" t="inlineStr">
        <is>
          <t>C19</t>
        </is>
      </c>
      <c r="D1013" s="20" t="inlineStr">
        <is>
          <t>Greenway Markets</t>
        </is>
      </c>
      <c r="E1013" s="20" t="inlineStr">
        <is>
          <t>Grocery</t>
        </is>
      </c>
      <c r="F1013" s="20" t="inlineStr">
        <is>
          <t>Nut Butter</t>
        </is>
      </c>
      <c r="G1013" s="22" t="n">
        <v>707</v>
      </c>
      <c r="H1013" s="23" t="n">
        <v>57.25</v>
      </c>
      <c r="I1013" s="23" t="n">
        <v>40475.75</v>
      </c>
      <c r="J1013" s="23" t="n">
        <v>27926.5</v>
      </c>
      <c r="K1013">
        <f>IF(OR(COUNTIF($A$5:A1013,A1013)&gt;1,G1013&lt;0,C1013="",B1013&lt;'Work 1'!$C$6,B1013&gt;'Work 1'!$C$7,H1013&gt;'Work 1'!$C$8*AVERAGEIF($F$5:$F$1014,F1013,$H$5:$H$1014)),"Excl",IF(B1013&gt;='Work 1'!$C$5,"LTM","Prior"))</f>
        <v/>
      </c>
      <c r="L1013">
        <f>I1013-J1013</f>
        <v/>
      </c>
    </row>
    <row r="1014" ht="14.25" customHeight="1" s="54">
      <c r="A1014" s="20" t="inlineStr">
        <is>
          <t>BH-41005</t>
        </is>
      </c>
      <c r="B1014" s="21" t="n">
        <v>46174</v>
      </c>
      <c r="C1014" s="20" t="inlineStr">
        <is>
          <t>C19</t>
        </is>
      </c>
      <c r="D1014" s="20" t="inlineStr">
        <is>
          <t>Greenway Markets</t>
        </is>
      </c>
      <c r="E1014" s="20" t="inlineStr">
        <is>
          <t>Grocery</t>
        </is>
      </c>
      <c r="F1014" s="20" t="inlineStr">
        <is>
          <t>Snack Bars</t>
        </is>
      </c>
      <c r="G1014" s="22" t="n">
        <v>710</v>
      </c>
      <c r="H1014" s="23" t="n">
        <v>33.35</v>
      </c>
      <c r="I1014" s="23" t="n">
        <v>23678.5</v>
      </c>
      <c r="J1014" s="23" t="n">
        <v>14519.5</v>
      </c>
      <c r="K1014">
        <f>IF(OR(COUNTIF($A$5:A1014,A1014)&gt;1,G1014&lt;0,C1014="",B1014&lt;'Work 1'!$C$6,B1014&gt;'Work 1'!$C$7,H1014&gt;'Work 1'!$C$8*AVERAGEIF($F$5:$F$1014,F1014,$H$5:$H$1014)),"Excl",IF(B1014&gt;='Work 1'!$C$5,"LTM","Prior"))</f>
        <v/>
      </c>
      <c r="L1014">
        <f>I1014-J1014</f>
        <v/>
      </c>
    </row>
  </sheetData>
  <autoFilter ref="$A$4:$J$1014"/>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ColWidth="14.43" defaultRowHeight="15" customHeight="1" outlineLevelCol="0"/>
  <cols>
    <col width="10" customWidth="1" style="54" min="1" max="1"/>
    <col width="60" customWidth="1" style="54" min="2" max="2"/>
    <col width="16" customWidth="1" style="54" min="3" max="3"/>
    <col width="14" customWidth="1" style="54" min="4" max="4"/>
    <col width="16" customWidth="1" style="54" min="5" max="5"/>
    <col width="8.710000000000001" customWidth="1" style="54" min="6" max="26"/>
  </cols>
  <sheetData>
    <row r="1" ht="61.5" customHeight="1" s="54">
      <c r="A1" s="1" t="inlineStr">
        <is>
          <t>Work 1. Data Pack analysis (INT-05): items 31-40</t>
        </is>
      </c>
      <c r="B1" s="2" t="n"/>
      <c r="C1" s="2" t="n"/>
      <c r="D1" s="2" t="n"/>
      <c r="E1" s="2" t="n"/>
    </row>
    <row r="2" ht="14.25" customHeight="1" s="54">
      <c r="A2" s="4" t="inlineStr">
        <is>
          <t>Exclude the five records listed on Case Exhibits before you answer. Answers in $ millions unless the unit column says %.</t>
        </is>
      </c>
    </row>
    <row r="3" ht="14.25" customHeight="1" s="54">
      <c r="A3" s="7" t="inlineStr">
        <is>
          <t>Inputs</t>
        </is>
      </c>
      <c r="B3" s="7" t="n"/>
      <c r="C3" s="7" t="n"/>
      <c r="D3" s="7" t="n"/>
    </row>
    <row r="4" ht="14.25" customHeight="1" s="54">
      <c r="B4" s="10" t="inlineStr">
        <is>
          <t>Dollars per $ million</t>
        </is>
      </c>
      <c r="C4" s="24" t="n">
        <v>1000000</v>
      </c>
    </row>
    <row r="5" ht="14.25" customHeight="1" s="54">
      <c r="B5" s="10" t="inlineStr">
        <is>
          <t>First month of the LTM period</t>
        </is>
      </c>
      <c r="C5" s="25" t="n">
        <v>45839</v>
      </c>
    </row>
    <row r="6" ht="14.25" customHeight="1" s="54">
      <c r="B6" s="10" t="inlineStr">
        <is>
          <t>First month of the Data Pack window</t>
        </is>
      </c>
      <c r="C6" s="25" t="n">
        <v>45474</v>
      </c>
    </row>
    <row r="7" ht="14.25" customHeight="1" s="54">
      <c r="B7" s="10" t="inlineStr">
        <is>
          <t>Last month of the Data Pack window</t>
        </is>
      </c>
      <c r="C7" s="25" t="n">
        <v>46174</v>
      </c>
    </row>
    <row r="8" ht="14.25" customHeight="1" s="54">
      <c r="B8" s="10" t="inlineStr">
        <is>
          <t>Price test: exclude a unit price above this multiple of the product's average price</t>
        </is>
      </c>
      <c r="C8" s="26" t="n">
        <v>5</v>
      </c>
    </row>
    <row r="9" ht="14.25" customHeight="1" s="54"/>
    <row r="10" ht="14.25" customHeight="1" s="54">
      <c r="A10" s="7" t="inlineStr">
        <is>
          <t>Item</t>
        </is>
      </c>
      <c r="B10" s="7" t="inlineStr">
        <is>
          <t>Answer</t>
        </is>
      </c>
      <c r="C10" s="7" t="inlineStr">
        <is>
          <t>Value</t>
        </is>
      </c>
      <c r="D10" s="7" t="inlineStr">
        <is>
          <t>Unit</t>
        </is>
      </c>
    </row>
    <row r="11" ht="16.5" customHeight="1" s="54">
      <c r="A11" s="5" t="inlineStr">
        <is>
          <t>Item 31</t>
        </is>
      </c>
      <c r="B11" s="9" t="inlineStr">
        <is>
          <t>LTM revenue</t>
        </is>
      </c>
      <c r="C11" s="27">
        <f>SUMIFS('Data Pack'!$I$5:$I$1014,'Data Pack'!$K$5:$K$1014,$C$44)/$C$4</f>
        <v/>
      </c>
      <c r="D11" s="4" t="inlineStr">
        <is>
          <t>$ millions</t>
        </is>
      </c>
    </row>
    <row r="12" ht="16.5" customHeight="1" s="54">
      <c r="A12" s="5" t="inlineStr">
        <is>
          <t>Item 32</t>
        </is>
      </c>
      <c r="B12" s="9" t="inlineStr">
        <is>
          <t>Prior-LTM revenue</t>
        </is>
      </c>
      <c r="C12" s="27">
        <f>SUMIFS('Data Pack'!$I$5:$I$1014,'Data Pack'!$K$5:$K$1014,$C$45)/$C$4</f>
        <v/>
      </c>
      <c r="D12" s="4" t="inlineStr">
        <is>
          <t>$ millions</t>
        </is>
      </c>
    </row>
    <row r="13" ht="30" customHeight="1" s="54">
      <c r="A13" s="5" t="inlineStr">
        <is>
          <t>Item 33</t>
        </is>
      </c>
      <c r="B13" s="9" t="inlineStr">
        <is>
          <t>Net revenue on the records you excluded (a negative record counts as negative)</t>
        </is>
      </c>
      <c r="C13" s="27">
        <f>SUMIFS('Data Pack'!$I$5:$I$1014,'Data Pack'!$K$5:$K$1014,$C$46)/$C$4</f>
        <v/>
      </c>
      <c r="D13" s="4" t="inlineStr">
        <is>
          <t>$ millions</t>
        </is>
      </c>
    </row>
    <row r="14" ht="16.5" customHeight="1" s="54">
      <c r="A14" s="5" t="inlineStr">
        <is>
          <t>Item 34</t>
        </is>
      </c>
      <c r="B14" s="9" t="inlineStr">
        <is>
          <t>LTM gross margin</t>
        </is>
      </c>
      <c r="C14" s="28">
        <f>(SUMIFS('Data Pack'!$I$5:$I$1014,'Data Pack'!$K$5:$K$1014,$C$44)-SUMIFS('Data Pack'!$J$5:$J$1014,'Data Pack'!$K$5:$K$1014,$C$44))/SUMIFS('Data Pack'!$I$5:$I$1014,'Data Pack'!$K$5:$K$1014,$C$44)</f>
        <v/>
      </c>
      <c r="D14" s="4" t="inlineStr">
        <is>
          <t>%</t>
        </is>
      </c>
    </row>
    <row r="15" ht="16.5" customHeight="1" s="54">
      <c r="A15" s="5" t="inlineStr">
        <is>
          <t>Item 35</t>
        </is>
      </c>
      <c r="B15" s="9" t="inlineStr">
        <is>
          <t>Largest customer's share of LTM revenue</t>
        </is>
      </c>
      <c r="C15" s="28">
        <f>MAX($C$25:$C$43)/SUM($C$25:$C$43)</f>
        <v/>
      </c>
      <c r="D15" s="4" t="inlineStr">
        <is>
          <t>%</t>
        </is>
      </c>
    </row>
    <row r="16" ht="16.5" customHeight="1" s="54">
      <c r="A16" s="5" t="inlineStr">
        <is>
          <t>Item 36</t>
        </is>
      </c>
      <c r="B16" s="9" t="inlineStr">
        <is>
          <t>Largest customer's share of prior-LTM revenue</t>
        </is>
      </c>
      <c r="C16" s="28">
        <f>INDEX($D$25:$D$43,MATCH($C$50,$A$25:$A$43,0))/SUM($D$25:$D$43)</f>
        <v/>
      </c>
      <c r="D16" s="4" t="inlineStr">
        <is>
          <t>%</t>
        </is>
      </c>
    </row>
    <row r="17" ht="16.5" customHeight="1" s="54">
      <c r="A17" s="5" t="inlineStr">
        <is>
          <t>Item 37</t>
        </is>
      </c>
      <c r="B17" s="9" t="inlineStr">
        <is>
          <t>Largest customer's LTM gross margin</t>
        </is>
      </c>
      <c r="C17" s="28">
        <f>INDEX($F$25:$F$43,MATCH($C$50,$A$25:$A$43,0))</f>
        <v/>
      </c>
      <c r="D17" s="4" t="inlineStr">
        <is>
          <t>%</t>
        </is>
      </c>
    </row>
    <row r="18" ht="30" customHeight="1" s="54">
      <c r="A18" s="5" t="inlineStr">
        <is>
          <t>Item 38</t>
        </is>
      </c>
      <c r="B18" s="9" t="inlineStr">
        <is>
          <t>Churned revenue: prior-LTM revenue from customers with no LTM revenue</t>
        </is>
      </c>
      <c r="C18" s="27">
        <f>SUMPRODUCT(--NOT($C$25:$C$43),$D$25:$D$43)/$C$4</f>
        <v/>
      </c>
      <c r="D18" s="4" t="inlineStr">
        <is>
          <t>$ millions</t>
        </is>
      </c>
    </row>
    <row r="19" ht="30" customHeight="1" s="54">
      <c r="A19" s="5" t="inlineStr">
        <is>
          <t>Item 39</t>
        </is>
      </c>
      <c r="B19" s="9" t="inlineStr">
        <is>
          <t>ValuClub Warehouse, Snack Bars: change in net price per case, LTM vs prior LTM</t>
        </is>
      </c>
      <c r="C19" s="28">
        <f>(SUMIFS('Data Pack'!$I$5:$I$1014,'Data Pack'!$D$5:$D$1014,$C$47,'Data Pack'!$F$5:$F$1014,$C$48,'Data Pack'!$K$5:$K$1014,$C$44)/SUMIFS('Data Pack'!$G$5:$G$1014,'Data Pack'!$D$5:$D$1014,$C$47,'Data Pack'!$F$5:$F$1014,$C$48,'Data Pack'!$K$5:$K$1014,$C$44)-SUMIFS('Data Pack'!$I$5:$I$1014,'Data Pack'!$D$5:$D$1014,$C$47,'Data Pack'!$F$5:$F$1014,$C$48,'Data Pack'!$K$5:$K$1014,$C$45)/SUMIFS('Data Pack'!$G$5:$G$1014,'Data Pack'!$D$5:$D$1014,$C$47,'Data Pack'!$F$5:$F$1014,$C$48,'Data Pack'!$K$5:$K$1014,$C$45))/(SUMIFS('Data Pack'!$I$5:$I$1014,'Data Pack'!$D$5:$D$1014,$C$47,'Data Pack'!$F$5:$F$1014,$C$48,'Data Pack'!$K$5:$K$1014,$C$45)/SUMIFS('Data Pack'!$G$5:$G$1014,'Data Pack'!$D$5:$D$1014,$C$47,'Data Pack'!$F$5:$F$1014,$C$48,'Data Pack'!$K$5:$K$1014,$C$45))</f>
        <v/>
      </c>
      <c r="D19" s="4" t="inlineStr">
        <is>
          <t>%</t>
        </is>
      </c>
    </row>
    <row r="20" ht="16.5" customHeight="1" s="54">
      <c r="A20" s="5" t="inlineStr">
        <is>
          <t>Item 40</t>
        </is>
      </c>
      <c r="B20" s="9" t="inlineStr">
        <is>
          <t>Crestline Grocers: LTM gross profit</t>
        </is>
      </c>
      <c r="C20" s="27">
        <f>(SUMIFS('Data Pack'!$I$5:$I$1014,'Data Pack'!$D$5:$D$1014,$C$49,'Data Pack'!$K$5:$K$1014,$C$44)-SUMIFS('Data Pack'!$J$5:$J$1014,'Data Pack'!$D$5:$D$1014,$C$49,'Data Pack'!$K$5:$K$1014,$C$44))/$C$4</f>
        <v/>
      </c>
      <c r="D20" s="4" t="inlineStr">
        <is>
          <t>$ millions</t>
        </is>
      </c>
    </row>
    <row r="21" ht="14.25" customHeight="1" s="54"/>
    <row r="22" ht="14.25" customHeight="1" s="54">
      <c r="A22" s="7" t="inlineStr">
        <is>
          <t>Work area</t>
        </is>
      </c>
      <c r="B22" s="7" t="n"/>
      <c r="C22" s="7" t="n"/>
      <c r="D22" s="7" t="n"/>
      <c r="E22" s="7" t="n"/>
    </row>
    <row r="23" ht="14.25" customHeight="1" s="54">
      <c r="A23" s="4" t="inlineStr">
        <is>
          <t>Build your cuts here or in helper columns on the Data Pack.</t>
        </is>
      </c>
    </row>
    <row r="24" ht="14.25" customHeight="1" s="54">
      <c r="A24" s="7" t="inlineStr">
        <is>
          <t>Customer ID</t>
        </is>
      </c>
      <c r="B24" s="7" t="inlineStr">
        <is>
          <t>Customer</t>
        </is>
      </c>
      <c r="C24" s="7" t="inlineStr">
        <is>
          <t>LTM revenue ($)</t>
        </is>
      </c>
      <c r="D24" s="7" t="inlineStr">
        <is>
          <t>Prior-LTM revenue ($)</t>
        </is>
      </c>
      <c r="E24" s="7" t="inlineStr">
        <is>
          <t>LTM COGS ($)</t>
        </is>
      </c>
      <c r="F24" s="7" t="inlineStr">
        <is>
          <t>LTM gross margin</t>
        </is>
      </c>
    </row>
    <row r="25" ht="14.25" customHeight="1" s="54">
      <c r="A25" t="inlineStr">
        <is>
          <t>C01</t>
        </is>
      </c>
      <c r="B25">
        <f>INDEX('Data Pack'!$D$5:$D$1014,MATCH(A25,'Data Pack'!$C$5:$C$1014,0))</f>
        <v/>
      </c>
      <c r="C25" s="55">
        <f>SUMIFS('Data Pack'!$I$5:$I$1014,'Data Pack'!$C$5:$C$1014,A25,'Data Pack'!$K$5:$K$1014,$C$44)</f>
        <v/>
      </c>
      <c r="D25" s="55">
        <f>SUMIFS('Data Pack'!$I$5:$I$1014,'Data Pack'!$C$5:$C$1014,A25,'Data Pack'!$K$5:$K$1014,$C$45)</f>
        <v/>
      </c>
      <c r="E25" s="55">
        <f>SUMIFS('Data Pack'!$J$5:$J$1014,'Data Pack'!$C$5:$C$1014,A25,'Data Pack'!$K$5:$K$1014,$C$44)</f>
        <v/>
      </c>
      <c r="F25" s="56">
        <f>IFERROR((C25-E25)/C25,"n/a")</f>
        <v/>
      </c>
    </row>
    <row r="26" ht="14.25" customHeight="1" s="54">
      <c r="A26" t="inlineStr">
        <is>
          <t>C02</t>
        </is>
      </c>
      <c r="B26">
        <f>INDEX('Data Pack'!$D$5:$D$1014,MATCH(A26,'Data Pack'!$C$5:$C$1014,0))</f>
        <v/>
      </c>
      <c r="C26" s="55">
        <f>SUMIFS('Data Pack'!$I$5:$I$1014,'Data Pack'!$C$5:$C$1014,A26,'Data Pack'!$K$5:$K$1014,$C$44)</f>
        <v/>
      </c>
      <c r="D26" s="55">
        <f>SUMIFS('Data Pack'!$I$5:$I$1014,'Data Pack'!$C$5:$C$1014,A26,'Data Pack'!$K$5:$K$1014,$C$45)</f>
        <v/>
      </c>
      <c r="E26" s="55">
        <f>SUMIFS('Data Pack'!$J$5:$J$1014,'Data Pack'!$C$5:$C$1014,A26,'Data Pack'!$K$5:$K$1014,$C$44)</f>
        <v/>
      </c>
      <c r="F26" s="56">
        <f>IFERROR((C26-E26)/C26,"n/a")</f>
        <v/>
      </c>
    </row>
    <row r="27" ht="14.25" customHeight="1" s="54">
      <c r="A27" t="inlineStr">
        <is>
          <t>C03</t>
        </is>
      </c>
      <c r="B27">
        <f>INDEX('Data Pack'!$D$5:$D$1014,MATCH(A27,'Data Pack'!$C$5:$C$1014,0))</f>
        <v/>
      </c>
      <c r="C27" s="55">
        <f>SUMIFS('Data Pack'!$I$5:$I$1014,'Data Pack'!$C$5:$C$1014,A27,'Data Pack'!$K$5:$K$1014,$C$44)</f>
        <v/>
      </c>
      <c r="D27" s="55">
        <f>SUMIFS('Data Pack'!$I$5:$I$1014,'Data Pack'!$C$5:$C$1014,A27,'Data Pack'!$K$5:$K$1014,$C$45)</f>
        <v/>
      </c>
      <c r="E27" s="55">
        <f>SUMIFS('Data Pack'!$J$5:$J$1014,'Data Pack'!$C$5:$C$1014,A27,'Data Pack'!$K$5:$K$1014,$C$44)</f>
        <v/>
      </c>
      <c r="F27" s="56">
        <f>IFERROR((C27-E27)/C27,"n/a")</f>
        <v/>
      </c>
    </row>
    <row r="28" ht="14.25" customHeight="1" s="54">
      <c r="A28" t="inlineStr">
        <is>
          <t>C04</t>
        </is>
      </c>
      <c r="B28">
        <f>INDEX('Data Pack'!$D$5:$D$1014,MATCH(A28,'Data Pack'!$C$5:$C$1014,0))</f>
        <v/>
      </c>
      <c r="C28" s="55">
        <f>SUMIFS('Data Pack'!$I$5:$I$1014,'Data Pack'!$C$5:$C$1014,A28,'Data Pack'!$K$5:$K$1014,$C$44)</f>
        <v/>
      </c>
      <c r="D28" s="55">
        <f>SUMIFS('Data Pack'!$I$5:$I$1014,'Data Pack'!$C$5:$C$1014,A28,'Data Pack'!$K$5:$K$1014,$C$45)</f>
        <v/>
      </c>
      <c r="E28" s="55">
        <f>SUMIFS('Data Pack'!$J$5:$J$1014,'Data Pack'!$C$5:$C$1014,A28,'Data Pack'!$K$5:$K$1014,$C$44)</f>
        <v/>
      </c>
      <c r="F28" s="56">
        <f>IFERROR((C28-E28)/C28,"n/a")</f>
        <v/>
      </c>
    </row>
    <row r="29" ht="14.25" customHeight="1" s="54">
      <c r="A29" t="inlineStr">
        <is>
          <t>C05</t>
        </is>
      </c>
      <c r="B29">
        <f>INDEX('Data Pack'!$D$5:$D$1014,MATCH(A29,'Data Pack'!$C$5:$C$1014,0))</f>
        <v/>
      </c>
      <c r="C29" s="55">
        <f>SUMIFS('Data Pack'!$I$5:$I$1014,'Data Pack'!$C$5:$C$1014,A29,'Data Pack'!$K$5:$K$1014,$C$44)</f>
        <v/>
      </c>
      <c r="D29" s="55">
        <f>SUMIFS('Data Pack'!$I$5:$I$1014,'Data Pack'!$C$5:$C$1014,A29,'Data Pack'!$K$5:$K$1014,$C$45)</f>
        <v/>
      </c>
      <c r="E29" s="55">
        <f>SUMIFS('Data Pack'!$J$5:$J$1014,'Data Pack'!$C$5:$C$1014,A29,'Data Pack'!$K$5:$K$1014,$C$44)</f>
        <v/>
      </c>
      <c r="F29" s="56">
        <f>IFERROR((C29-E29)/C29,"n/a")</f>
        <v/>
      </c>
    </row>
    <row r="30" ht="14.25" customHeight="1" s="54">
      <c r="A30" t="inlineStr">
        <is>
          <t>C06</t>
        </is>
      </c>
      <c r="B30">
        <f>INDEX('Data Pack'!$D$5:$D$1014,MATCH(A30,'Data Pack'!$C$5:$C$1014,0))</f>
        <v/>
      </c>
      <c r="C30" s="55">
        <f>SUMIFS('Data Pack'!$I$5:$I$1014,'Data Pack'!$C$5:$C$1014,A30,'Data Pack'!$K$5:$K$1014,$C$44)</f>
        <v/>
      </c>
      <c r="D30" s="55">
        <f>SUMIFS('Data Pack'!$I$5:$I$1014,'Data Pack'!$C$5:$C$1014,A30,'Data Pack'!$K$5:$K$1014,$C$45)</f>
        <v/>
      </c>
      <c r="E30" s="55">
        <f>SUMIFS('Data Pack'!$J$5:$J$1014,'Data Pack'!$C$5:$C$1014,A30,'Data Pack'!$K$5:$K$1014,$C$44)</f>
        <v/>
      </c>
      <c r="F30" s="56">
        <f>IFERROR((C30-E30)/C30,"n/a")</f>
        <v/>
      </c>
    </row>
    <row r="31" ht="14.25" customHeight="1" s="54">
      <c r="A31" t="inlineStr">
        <is>
          <t>C07</t>
        </is>
      </c>
      <c r="B31">
        <f>INDEX('Data Pack'!$D$5:$D$1014,MATCH(A31,'Data Pack'!$C$5:$C$1014,0))</f>
        <v/>
      </c>
      <c r="C31" s="55">
        <f>SUMIFS('Data Pack'!$I$5:$I$1014,'Data Pack'!$C$5:$C$1014,A31,'Data Pack'!$K$5:$K$1014,$C$44)</f>
        <v/>
      </c>
      <c r="D31" s="55">
        <f>SUMIFS('Data Pack'!$I$5:$I$1014,'Data Pack'!$C$5:$C$1014,A31,'Data Pack'!$K$5:$K$1014,$C$45)</f>
        <v/>
      </c>
      <c r="E31" s="55">
        <f>SUMIFS('Data Pack'!$J$5:$J$1014,'Data Pack'!$C$5:$C$1014,A31,'Data Pack'!$K$5:$K$1014,$C$44)</f>
        <v/>
      </c>
      <c r="F31" s="56">
        <f>IFERROR((C31-E31)/C31,"n/a")</f>
        <v/>
      </c>
    </row>
    <row r="32" ht="14.25" customHeight="1" s="54">
      <c r="A32" t="inlineStr">
        <is>
          <t>C08</t>
        </is>
      </c>
      <c r="B32">
        <f>INDEX('Data Pack'!$D$5:$D$1014,MATCH(A32,'Data Pack'!$C$5:$C$1014,0))</f>
        <v/>
      </c>
      <c r="C32" s="55">
        <f>SUMIFS('Data Pack'!$I$5:$I$1014,'Data Pack'!$C$5:$C$1014,A32,'Data Pack'!$K$5:$K$1014,$C$44)</f>
        <v/>
      </c>
      <c r="D32" s="55">
        <f>SUMIFS('Data Pack'!$I$5:$I$1014,'Data Pack'!$C$5:$C$1014,A32,'Data Pack'!$K$5:$K$1014,$C$45)</f>
        <v/>
      </c>
      <c r="E32" s="55">
        <f>SUMIFS('Data Pack'!$J$5:$J$1014,'Data Pack'!$C$5:$C$1014,A32,'Data Pack'!$K$5:$K$1014,$C$44)</f>
        <v/>
      </c>
      <c r="F32" s="56">
        <f>IFERROR((C32-E32)/C32,"n/a")</f>
        <v/>
      </c>
    </row>
    <row r="33" ht="14.25" customHeight="1" s="54">
      <c r="A33" t="inlineStr">
        <is>
          <t>C09</t>
        </is>
      </c>
      <c r="B33">
        <f>INDEX('Data Pack'!$D$5:$D$1014,MATCH(A33,'Data Pack'!$C$5:$C$1014,0))</f>
        <v/>
      </c>
      <c r="C33" s="55">
        <f>SUMIFS('Data Pack'!$I$5:$I$1014,'Data Pack'!$C$5:$C$1014,A33,'Data Pack'!$K$5:$K$1014,$C$44)</f>
        <v/>
      </c>
      <c r="D33" s="55">
        <f>SUMIFS('Data Pack'!$I$5:$I$1014,'Data Pack'!$C$5:$C$1014,A33,'Data Pack'!$K$5:$K$1014,$C$45)</f>
        <v/>
      </c>
      <c r="E33" s="55">
        <f>SUMIFS('Data Pack'!$J$5:$J$1014,'Data Pack'!$C$5:$C$1014,A33,'Data Pack'!$K$5:$K$1014,$C$44)</f>
        <v/>
      </c>
      <c r="F33" s="56">
        <f>IFERROR((C33-E33)/C33,"n/a")</f>
        <v/>
      </c>
    </row>
    <row r="34" ht="14.25" customHeight="1" s="54">
      <c r="A34" t="inlineStr">
        <is>
          <t>C10</t>
        </is>
      </c>
      <c r="B34">
        <f>INDEX('Data Pack'!$D$5:$D$1014,MATCH(A34,'Data Pack'!$C$5:$C$1014,0))</f>
        <v/>
      </c>
      <c r="C34" s="55">
        <f>SUMIFS('Data Pack'!$I$5:$I$1014,'Data Pack'!$C$5:$C$1014,A34,'Data Pack'!$K$5:$K$1014,$C$44)</f>
        <v/>
      </c>
      <c r="D34" s="55">
        <f>SUMIFS('Data Pack'!$I$5:$I$1014,'Data Pack'!$C$5:$C$1014,A34,'Data Pack'!$K$5:$K$1014,$C$45)</f>
        <v/>
      </c>
      <c r="E34" s="55">
        <f>SUMIFS('Data Pack'!$J$5:$J$1014,'Data Pack'!$C$5:$C$1014,A34,'Data Pack'!$K$5:$K$1014,$C$44)</f>
        <v/>
      </c>
      <c r="F34" s="56">
        <f>IFERROR((C34-E34)/C34,"n/a")</f>
        <v/>
      </c>
    </row>
    <row r="35" ht="14.25" customHeight="1" s="54">
      <c r="A35" t="inlineStr">
        <is>
          <t>C11</t>
        </is>
      </c>
      <c r="B35">
        <f>INDEX('Data Pack'!$D$5:$D$1014,MATCH(A35,'Data Pack'!$C$5:$C$1014,0))</f>
        <v/>
      </c>
      <c r="C35" s="55">
        <f>SUMIFS('Data Pack'!$I$5:$I$1014,'Data Pack'!$C$5:$C$1014,A35,'Data Pack'!$K$5:$K$1014,$C$44)</f>
        <v/>
      </c>
      <c r="D35" s="55">
        <f>SUMIFS('Data Pack'!$I$5:$I$1014,'Data Pack'!$C$5:$C$1014,A35,'Data Pack'!$K$5:$K$1014,$C$45)</f>
        <v/>
      </c>
      <c r="E35" s="55">
        <f>SUMIFS('Data Pack'!$J$5:$J$1014,'Data Pack'!$C$5:$C$1014,A35,'Data Pack'!$K$5:$K$1014,$C$44)</f>
        <v/>
      </c>
      <c r="F35" s="56">
        <f>IFERROR((C35-E35)/C35,"n/a")</f>
        <v/>
      </c>
    </row>
    <row r="36" ht="14.25" customHeight="1" s="54">
      <c r="A36" t="inlineStr">
        <is>
          <t>C12</t>
        </is>
      </c>
      <c r="B36">
        <f>INDEX('Data Pack'!$D$5:$D$1014,MATCH(A36,'Data Pack'!$C$5:$C$1014,0))</f>
        <v/>
      </c>
      <c r="C36" s="55">
        <f>SUMIFS('Data Pack'!$I$5:$I$1014,'Data Pack'!$C$5:$C$1014,A36,'Data Pack'!$K$5:$K$1014,$C$44)</f>
        <v/>
      </c>
      <c r="D36" s="55">
        <f>SUMIFS('Data Pack'!$I$5:$I$1014,'Data Pack'!$C$5:$C$1014,A36,'Data Pack'!$K$5:$K$1014,$C$45)</f>
        <v/>
      </c>
      <c r="E36" s="55">
        <f>SUMIFS('Data Pack'!$J$5:$J$1014,'Data Pack'!$C$5:$C$1014,A36,'Data Pack'!$K$5:$K$1014,$C$44)</f>
        <v/>
      </c>
      <c r="F36" s="56">
        <f>IFERROR((C36-E36)/C36,"n/a")</f>
        <v/>
      </c>
    </row>
    <row r="37" ht="14.25" customHeight="1" s="54">
      <c r="A37" t="inlineStr">
        <is>
          <t>C13</t>
        </is>
      </c>
      <c r="B37">
        <f>INDEX('Data Pack'!$D$5:$D$1014,MATCH(A37,'Data Pack'!$C$5:$C$1014,0))</f>
        <v/>
      </c>
      <c r="C37" s="55">
        <f>SUMIFS('Data Pack'!$I$5:$I$1014,'Data Pack'!$C$5:$C$1014,A37,'Data Pack'!$K$5:$K$1014,$C$44)</f>
        <v/>
      </c>
      <c r="D37" s="55">
        <f>SUMIFS('Data Pack'!$I$5:$I$1014,'Data Pack'!$C$5:$C$1014,A37,'Data Pack'!$K$5:$K$1014,$C$45)</f>
        <v/>
      </c>
      <c r="E37" s="55">
        <f>SUMIFS('Data Pack'!$J$5:$J$1014,'Data Pack'!$C$5:$C$1014,A37,'Data Pack'!$K$5:$K$1014,$C$44)</f>
        <v/>
      </c>
      <c r="F37" s="56">
        <f>IFERROR((C37-E37)/C37,"n/a")</f>
        <v/>
      </c>
    </row>
    <row r="38" ht="14.25" customHeight="1" s="54">
      <c r="A38" t="inlineStr">
        <is>
          <t>C14</t>
        </is>
      </c>
      <c r="B38">
        <f>INDEX('Data Pack'!$D$5:$D$1014,MATCH(A38,'Data Pack'!$C$5:$C$1014,0))</f>
        <v/>
      </c>
      <c r="C38" s="55">
        <f>SUMIFS('Data Pack'!$I$5:$I$1014,'Data Pack'!$C$5:$C$1014,A38,'Data Pack'!$K$5:$K$1014,$C$44)</f>
        <v/>
      </c>
      <c r="D38" s="55">
        <f>SUMIFS('Data Pack'!$I$5:$I$1014,'Data Pack'!$C$5:$C$1014,A38,'Data Pack'!$K$5:$K$1014,$C$45)</f>
        <v/>
      </c>
      <c r="E38" s="55">
        <f>SUMIFS('Data Pack'!$J$5:$J$1014,'Data Pack'!$C$5:$C$1014,A38,'Data Pack'!$K$5:$K$1014,$C$44)</f>
        <v/>
      </c>
      <c r="F38" s="56">
        <f>IFERROR((C38-E38)/C38,"n/a")</f>
        <v/>
      </c>
    </row>
    <row r="39" ht="14.25" customHeight="1" s="54">
      <c r="A39" t="inlineStr">
        <is>
          <t>C15</t>
        </is>
      </c>
      <c r="B39">
        <f>INDEX('Data Pack'!$D$5:$D$1014,MATCH(A39,'Data Pack'!$C$5:$C$1014,0))</f>
        <v/>
      </c>
      <c r="C39" s="55">
        <f>SUMIFS('Data Pack'!$I$5:$I$1014,'Data Pack'!$C$5:$C$1014,A39,'Data Pack'!$K$5:$K$1014,$C$44)</f>
        <v/>
      </c>
      <c r="D39" s="55">
        <f>SUMIFS('Data Pack'!$I$5:$I$1014,'Data Pack'!$C$5:$C$1014,A39,'Data Pack'!$K$5:$K$1014,$C$45)</f>
        <v/>
      </c>
      <c r="E39" s="55">
        <f>SUMIFS('Data Pack'!$J$5:$J$1014,'Data Pack'!$C$5:$C$1014,A39,'Data Pack'!$K$5:$K$1014,$C$44)</f>
        <v/>
      </c>
      <c r="F39" s="56">
        <f>IFERROR((C39-E39)/C39,"n/a")</f>
        <v/>
      </c>
    </row>
    <row r="40" ht="14.25" customHeight="1" s="54">
      <c r="A40" t="inlineStr">
        <is>
          <t>C16</t>
        </is>
      </c>
      <c r="B40">
        <f>INDEX('Data Pack'!$D$5:$D$1014,MATCH(A40,'Data Pack'!$C$5:$C$1014,0))</f>
        <v/>
      </c>
      <c r="C40" s="55">
        <f>SUMIFS('Data Pack'!$I$5:$I$1014,'Data Pack'!$C$5:$C$1014,A40,'Data Pack'!$K$5:$K$1014,$C$44)</f>
        <v/>
      </c>
      <c r="D40" s="55">
        <f>SUMIFS('Data Pack'!$I$5:$I$1014,'Data Pack'!$C$5:$C$1014,A40,'Data Pack'!$K$5:$K$1014,$C$45)</f>
        <v/>
      </c>
      <c r="E40" s="55">
        <f>SUMIFS('Data Pack'!$J$5:$J$1014,'Data Pack'!$C$5:$C$1014,A40,'Data Pack'!$K$5:$K$1014,$C$44)</f>
        <v/>
      </c>
      <c r="F40" s="56">
        <f>IFERROR((C40-E40)/C40,"n/a")</f>
        <v/>
      </c>
    </row>
    <row r="41" ht="14.25" customHeight="1" s="54">
      <c r="A41" t="inlineStr">
        <is>
          <t>C17</t>
        </is>
      </c>
      <c r="B41">
        <f>INDEX('Data Pack'!$D$5:$D$1014,MATCH(A41,'Data Pack'!$C$5:$C$1014,0))</f>
        <v/>
      </c>
      <c r="C41" s="55">
        <f>SUMIFS('Data Pack'!$I$5:$I$1014,'Data Pack'!$C$5:$C$1014,A41,'Data Pack'!$K$5:$K$1014,$C$44)</f>
        <v/>
      </c>
      <c r="D41" s="55">
        <f>SUMIFS('Data Pack'!$I$5:$I$1014,'Data Pack'!$C$5:$C$1014,A41,'Data Pack'!$K$5:$K$1014,$C$45)</f>
        <v/>
      </c>
      <c r="E41" s="55">
        <f>SUMIFS('Data Pack'!$J$5:$J$1014,'Data Pack'!$C$5:$C$1014,A41,'Data Pack'!$K$5:$K$1014,$C$44)</f>
        <v/>
      </c>
      <c r="F41" s="56">
        <f>IFERROR((C41-E41)/C41,"n/a")</f>
        <v/>
      </c>
    </row>
    <row r="42" ht="14.25" customHeight="1" s="54">
      <c r="A42" t="inlineStr">
        <is>
          <t>C18</t>
        </is>
      </c>
      <c r="B42">
        <f>INDEX('Data Pack'!$D$5:$D$1014,MATCH(A42,'Data Pack'!$C$5:$C$1014,0))</f>
        <v/>
      </c>
      <c r="C42" s="55">
        <f>SUMIFS('Data Pack'!$I$5:$I$1014,'Data Pack'!$C$5:$C$1014,A42,'Data Pack'!$K$5:$K$1014,$C$44)</f>
        <v/>
      </c>
      <c r="D42" s="55">
        <f>SUMIFS('Data Pack'!$I$5:$I$1014,'Data Pack'!$C$5:$C$1014,A42,'Data Pack'!$K$5:$K$1014,$C$45)</f>
        <v/>
      </c>
      <c r="E42" s="55">
        <f>SUMIFS('Data Pack'!$J$5:$J$1014,'Data Pack'!$C$5:$C$1014,A42,'Data Pack'!$K$5:$K$1014,$C$44)</f>
        <v/>
      </c>
      <c r="F42" s="56">
        <f>IFERROR((C42-E42)/C42,"n/a")</f>
        <v/>
      </c>
    </row>
    <row r="43" ht="14.25" customHeight="1" s="54">
      <c r="A43" t="inlineStr">
        <is>
          <t>C19</t>
        </is>
      </c>
      <c r="B43">
        <f>INDEX('Data Pack'!$D$5:$D$1014,MATCH(A43,'Data Pack'!$C$5:$C$1014,0))</f>
        <v/>
      </c>
      <c r="C43" s="55">
        <f>SUMIFS('Data Pack'!$I$5:$I$1014,'Data Pack'!$C$5:$C$1014,A43,'Data Pack'!$K$5:$K$1014,$C$44)</f>
        <v/>
      </c>
      <c r="D43" s="55">
        <f>SUMIFS('Data Pack'!$I$5:$I$1014,'Data Pack'!$C$5:$C$1014,A43,'Data Pack'!$K$5:$K$1014,$C$45)</f>
        <v/>
      </c>
      <c r="E43" s="55">
        <f>SUMIFS('Data Pack'!$J$5:$J$1014,'Data Pack'!$C$5:$C$1014,A43,'Data Pack'!$K$5:$K$1014,$C$44)</f>
        <v/>
      </c>
      <c r="F43" s="56">
        <f>IFERROR((C43-E43)/C43,"n/a")</f>
        <v/>
      </c>
    </row>
    <row r="44" ht="14.25" customHeight="1" s="54">
      <c r="B44" t="inlineStr">
        <is>
          <t>Period label: LTM</t>
        </is>
      </c>
      <c r="C44" s="24" t="inlineStr">
        <is>
          <t>LTM</t>
        </is>
      </c>
    </row>
    <row r="45" ht="14.25" customHeight="1" s="54">
      <c r="B45" t="inlineStr">
        <is>
          <t>Period label: prior LTM</t>
        </is>
      </c>
      <c r="C45" s="24" t="inlineStr">
        <is>
          <t>Prior</t>
        </is>
      </c>
    </row>
    <row r="46" ht="14.25" customHeight="1" s="54">
      <c r="B46" t="inlineStr">
        <is>
          <t>Period label: excluded records</t>
        </is>
      </c>
      <c r="C46" s="24" t="inlineStr">
        <is>
          <t>Excl</t>
        </is>
      </c>
    </row>
    <row r="47" ht="14.25" customHeight="1" s="54">
      <c r="B47" t="inlineStr">
        <is>
          <t>Customer for item 39</t>
        </is>
      </c>
      <c r="C47" s="24" t="inlineStr">
        <is>
          <t>ValuClub Warehouse</t>
        </is>
      </c>
    </row>
    <row r="48" ht="14.25" customHeight="1" s="54">
      <c r="B48" t="inlineStr">
        <is>
          <t>Product for item 39</t>
        </is>
      </c>
      <c r="C48" s="24" t="inlineStr">
        <is>
          <t>Snack Bars</t>
        </is>
      </c>
    </row>
    <row r="49" ht="14.25" customHeight="1" s="54">
      <c r="B49" t="inlineStr">
        <is>
          <t>Customer for item 40</t>
        </is>
      </c>
      <c r="C49" s="24" t="inlineStr">
        <is>
          <t>Crestline Grocers</t>
        </is>
      </c>
    </row>
    <row r="50" ht="14.25" customHeight="1" s="54">
      <c r="B50" t="inlineStr">
        <is>
          <t>Largest customer by LTM revenue (ID)</t>
        </is>
      </c>
      <c r="C50">
        <f>INDEX($A$25:$A$43,MATCH(MAX($C$25:$C$43),$C$25:$C$43,0))</f>
        <v/>
      </c>
    </row>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ColWidth="14.43" defaultRowHeight="15" customHeight="1" outlineLevelCol="0"/>
  <cols>
    <col width="44" customWidth="1" style="54" min="1" max="1"/>
    <col width="14" customWidth="1" style="54" min="2" max="2"/>
    <col width="16" customWidth="1" style="54" min="3" max="4"/>
    <col width="64" customWidth="1" style="54" min="5" max="5"/>
    <col width="10" customWidth="1" style="54" min="6" max="6"/>
    <col width="8.710000000000001" customWidth="1" style="54" min="7" max="26"/>
  </cols>
  <sheetData>
    <row r="1" ht="61.5" customHeight="1" s="54">
      <c r="A1" s="1" t="inlineStr">
        <is>
          <t>Work 2. Underwriting EBITDA (INT-05, INT-21): items 41-48</t>
        </is>
      </c>
      <c r="B1" s="2" t="n"/>
      <c r="C1" s="2" t="n"/>
      <c r="D1" s="2" t="n"/>
      <c r="E1" s="2" t="n"/>
      <c r="F1" s="2" t="n"/>
    </row>
    <row r="2" ht="14.25" customHeight="1" s="54">
      <c r="A2" s="4" t="inlineStr">
        <is>
          <t>Choose a treatment for each line and write a one-line reason that cites the diligence note. Fill column D with formulas. $ millions.</t>
        </is>
      </c>
    </row>
    <row r="3" ht="14.25" customHeight="1" s="54"/>
    <row r="4" ht="14.25" customHeight="1" s="54">
      <c r="A4" s="7" t="inlineStr">
        <is>
          <t>Line</t>
        </is>
      </c>
      <c r="B4" s="7" t="inlineStr">
        <is>
          <t>Amount</t>
        </is>
      </c>
      <c r="C4" s="7" t="inlineStr">
        <is>
          <t>Treatment</t>
        </is>
      </c>
      <c r="D4" s="7" t="inlineStr">
        <is>
          <t>Included</t>
        </is>
      </c>
      <c r="E4" s="7" t="inlineStr">
        <is>
          <t>Reason (one line)</t>
        </is>
      </c>
      <c r="F4" s="7" t="inlineStr">
        <is>
          <t>Item</t>
        </is>
      </c>
    </row>
    <row r="5" ht="14.25" customHeight="1" s="54">
      <c r="A5" s="10" t="inlineStr">
        <is>
          <t>Reported EBITDA, LTM</t>
        </is>
      </c>
      <c r="B5" s="29">
        <f>'Case Exhibits'!$B$16</f>
        <v/>
      </c>
      <c r="D5" s="30">
        <f>B5</f>
        <v/>
      </c>
    </row>
    <row r="6" ht="30" customHeight="1" s="54">
      <c r="A6" s="10" t="inlineStr">
        <is>
          <t>Founder compensation above market</t>
        </is>
      </c>
      <c r="B6" s="29">
        <f>'Case Exhibits'!$B$17</f>
        <v/>
      </c>
      <c r="C6" s="31" t="inlineStr">
        <is>
          <t>Accept</t>
        </is>
      </c>
      <c r="D6" s="30">
        <f>IF(C6="Accept",B6,IF(C6="Haircut",B6*$B$16,0))</f>
        <v/>
      </c>
      <c r="E6" s="32" t="inlineStr">
        <is>
          <t>Accept: founder is paid 1.10, retires at close, and the 0.65 add-back is already net of the 0.45 replacement CEO cost, so it will not recur.</t>
        </is>
      </c>
      <c r="F6" s="4" t="inlineStr">
        <is>
          <t>Item 41</t>
        </is>
      </c>
    </row>
    <row r="7" ht="30" customHeight="1" s="54">
      <c r="A7" s="10" t="inlineStr">
        <is>
          <t>Co-packer litigation settlement</t>
        </is>
      </c>
      <c r="B7" s="29">
        <f>'Case Exhibits'!$B$18</f>
        <v/>
      </c>
      <c r="C7" s="31" t="inlineStr">
        <is>
          <t>Accept</t>
        </is>
      </c>
      <c r="D7" s="30">
        <f>IF(C7="Accept",B7,IF(C7="Haircut",B7*$B$16,0))</f>
        <v/>
      </c>
      <c r="E7" s="32" t="inlineStr">
        <is>
          <t>Accept: counsel confirms one dispute with a former co-packer, settled in the LTM period, with no other open claims, so it is non-recurring.</t>
        </is>
      </c>
      <c r="F7" s="4" t="inlineStr">
        <is>
          <t>Item 42</t>
        </is>
      </c>
    </row>
    <row r="8" ht="30" customHeight="1" s="54">
      <c r="A8" s="10" t="inlineStr">
        <is>
          <t>Second-line start-up costs</t>
        </is>
      </c>
      <c r="B8" s="29">
        <f>'Case Exhibits'!$B$19</f>
        <v/>
      </c>
      <c r="C8" s="31" t="inlineStr">
        <is>
          <t>Haircut</t>
        </is>
      </c>
      <c r="D8" s="30">
        <f>IF(C8="Accept",B8,IF(C8="Haircut",B8*$B$16,0))</f>
        <v/>
      </c>
      <c r="E8" s="32" t="inlineStr">
        <is>
          <t>Haircut: the line is at 70% utilization and scrap is only expected to settle over two quarters, so part of the 0.60 will recur.</t>
        </is>
      </c>
      <c r="F8" s="4" t="inlineStr">
        <is>
          <t>Item 43</t>
        </is>
      </c>
    </row>
    <row r="9" ht="30" customHeight="1" s="54">
      <c r="A9" s="10" t="inlineStr">
        <is>
          <t>Pro forma list-price increase</t>
        </is>
      </c>
      <c r="B9" s="29">
        <f>'Case Exhibits'!$B$20</f>
        <v/>
      </c>
      <c r="C9" s="31" t="inlineStr">
        <is>
          <t>Reject</t>
        </is>
      </c>
      <c r="D9" s="30">
        <f>IF(C9="Accept",B9,IF(C9="Haircut",B9*$B$16,0))</f>
        <v/>
      </c>
      <c r="E9" s="32" t="inlineStr">
        <is>
          <t>Reject: the 8% list-price increase was announced after the LTM period and no customer has accepted it, so the benefit is not agreed.</t>
        </is>
      </c>
      <c r="F9" s="4" t="inlineStr">
        <is>
          <t>Item 44</t>
        </is>
      </c>
    </row>
    <row r="10" ht="30" customHeight="1" s="54">
      <c r="A10" s="10" t="inlineStr">
        <is>
          <t>New-product slotting fees</t>
        </is>
      </c>
      <c r="B10" s="29">
        <f>'Case Exhibits'!$B$21</f>
        <v/>
      </c>
      <c r="C10" s="31" t="inlineStr">
        <is>
          <t>Reject</t>
        </is>
      </c>
      <c r="D10" s="30">
        <f>IF(C10="Accept",B10,IF(C10="Haircut",B10*$B$16,0))</f>
        <v/>
      </c>
      <c r="E10" s="32" t="inlineStr">
        <is>
          <t>Reject: the company has launched new items in each of the last four years, so slotting fees and launch promotions recur every year.</t>
        </is>
      </c>
      <c r="F10" s="4" t="inlineStr">
        <is>
          <t>Item 45</t>
        </is>
      </c>
    </row>
    <row r="11" ht="30" customHeight="1" s="54">
      <c r="A11" s="10" t="inlineStr">
        <is>
          <t>Freight contract savings</t>
        </is>
      </c>
      <c r="B11" s="29">
        <f>'Case Exhibits'!$B$22</f>
        <v/>
      </c>
      <c r="C11" s="31" t="inlineStr">
        <is>
          <t>Haircut</t>
        </is>
      </c>
      <c r="D11" s="30">
        <f>IF(C11="Accept",B11,IF(C11="Haircut",B11*$B$16,0))</f>
        <v/>
      </c>
      <c r="E11" s="32" t="inlineStr">
        <is>
          <t>Haircut: the freight contract is signed but only one month of savings is in reported EBITDA, so eleven months are not yet in results.</t>
        </is>
      </c>
      <c r="F11" s="4" t="inlineStr">
        <is>
          <t>Item 46</t>
        </is>
      </c>
    </row>
    <row r="12" ht="30" customHeight="1" s="54">
      <c r="A12" s="10" t="inlineStr">
        <is>
          <t>Crestline Grocers: LTM gross profit (Work 1, item 40)</t>
        </is>
      </c>
      <c r="B12" s="29">
        <f>'Work 1'!C20</f>
        <v/>
      </c>
      <c r="C12" s="31" t="inlineStr">
        <is>
          <t>Deduct</t>
        </is>
      </c>
      <c r="D12" s="30">
        <f>IF(C12="Deduct",-B12,0)</f>
        <v/>
      </c>
      <c r="E12" s="32" t="inlineStr">
        <is>
          <t>Deduct: Crestline Grocers gave written notice after the LTM period that it will not renew, so its LTM gross profit will not recur.</t>
        </is>
      </c>
      <c r="F12" s="4" t="inlineStr">
        <is>
          <t>Item 47</t>
        </is>
      </c>
    </row>
    <row r="13" ht="14.25" customHeight="1" s="54">
      <c r="A13" s="5" t="inlineStr">
        <is>
          <t>Underwriting EBITDA, LTM</t>
        </is>
      </c>
      <c r="D13" s="33">
        <f>SUM(D5:D12)</f>
        <v/>
      </c>
      <c r="F13" s="4" t="inlineStr">
        <is>
          <t>Item 48</t>
        </is>
      </c>
    </row>
    <row r="14" ht="14.25" customHeight="1" s="54"/>
    <row r="15" ht="14.25" customHeight="1" s="54"/>
    <row r="16" ht="14.25" customHeight="1" s="54">
      <c r="A16" s="10" t="inlineStr">
        <is>
          <t>Haircut inclusion % (Case Exhibits)</t>
        </is>
      </c>
      <c r="B16" s="34">
        <f>'Case Exhibits'!$B$24</f>
        <v/>
      </c>
    </row>
    <row r="17" ht="14.25" customHeight="1" s="54"/>
    <row r="18" ht="14.25" customHeight="1" s="54">
      <c r="A18" s="7" t="inlineStr">
        <is>
          <t>Treatment rules</t>
        </is>
      </c>
      <c r="B18" s="7" t="n"/>
      <c r="C18" s="7" t="n"/>
      <c r="D18" s="7" t="n"/>
      <c r="E18" s="7" t="n"/>
      <c r="F18" s="7" t="n"/>
    </row>
    <row r="19" ht="14.25" customHeight="1" s="54">
      <c r="A19" s="10" t="inlineStr">
        <is>
          <t>Accept: a documented cost that will not recur after close. Include 100%.</t>
        </is>
      </c>
    </row>
    <row r="20" ht="14.25" customHeight="1" s="54">
      <c r="A20" s="10" t="inlineStr">
        <is>
          <t>Haircut: a saving that is contracted but not yet in a full year of results, or a cost of which part will recur. Include the haircut inclusion %.</t>
        </is>
      </c>
    </row>
    <row r="21" ht="14.25" customHeight="1" s="54">
      <c r="A21" s="10" t="inlineStr">
        <is>
          <t>Reject: the benefit depends on something not yet agreed or started, or the cost recurs every year. Include 0%.</t>
        </is>
      </c>
    </row>
    <row r="22" ht="14.25" customHeight="1" s="54">
      <c r="A22" s="10" t="inlineStr">
        <is>
          <t>Lost customer: Deduct the LTM gross profit of a customer that has given notice. Otherwise Ignore.</t>
        </is>
      </c>
    </row>
    <row r="23" ht="14.25" customHeight="1" s="54">
      <c r="A23" s="10" t="inlineStr">
        <is>
          <t>Enter deductions as negative numbers in column D. Underwriting EBITDA = the sum of column D.</t>
        </is>
      </c>
    </row>
    <row r="24" ht="14.25" customHeight="1" s="54"/>
    <row r="25" ht="14.25" customHeight="1" s="54"/>
    <row r="26" ht="14.25" customHeight="1" s="54"/>
    <row r="27" ht="14.25" customHeight="1" s="54"/>
    <row r="28" ht="14.25" customHeight="1" s="54"/>
    <row r="29" ht="14.25" customHeight="1" s="54"/>
    <row r="30" ht="14.25" customHeight="1" s="54"/>
    <row r="31" ht="14.25" customHeight="1" s="54"/>
    <row r="32" ht="14.25" customHeight="1" s="54"/>
    <row r="33" ht="14.25" customHeight="1" s="54"/>
    <row r="34" ht="14.25" customHeight="1" s="54"/>
    <row r="35" ht="14.25" customHeight="1" s="54"/>
    <row r="36" ht="14.25" customHeight="1" s="54"/>
    <row r="37" ht="14.25" customHeight="1" s="54"/>
    <row r="38" ht="14.25" customHeight="1" s="54"/>
    <row r="39" ht="14.25" customHeight="1" s="54"/>
    <row r="40" ht="14.25" customHeight="1" s="54"/>
    <row r="41" ht="14.25" customHeight="1" s="54"/>
    <row r="42" ht="14.25" customHeight="1" s="54"/>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mergeCells count="5">
    <mergeCell ref="A19:F19"/>
    <mergeCell ref="A23:F23"/>
    <mergeCell ref="A22:F22"/>
    <mergeCell ref="A20:F20"/>
    <mergeCell ref="A21:F21"/>
  </mergeCells>
  <dataValidations count="2">
    <dataValidation sqref="C12" showDropDown="0" showInputMessage="1" showErrorMessage="1" allowBlank="1" prompt="Treatment - Choose from the list." type="list">
      <formula1>"Deduct,Ignore"</formula1>
    </dataValidation>
    <dataValidation sqref="C6:C11" showDropDown="0" showInputMessage="1" showErrorMessage="1" allowBlank="1" prompt="Treatment - Choose from the list." type="list">
      <formula1>"Accept,Haircut,Reject"</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ColWidth="14.43" defaultRowHeight="15" customHeight="1" outlineLevelCol="0"/>
  <cols>
    <col width="10" customWidth="1" style="54" min="1" max="1"/>
    <col width="50" customWidth="1" style="54" min="2" max="2"/>
    <col width="12" customWidth="1" style="54" min="3" max="10"/>
    <col width="70" customWidth="1" style="54" min="11" max="11"/>
    <col width="8.710000000000001" customWidth="1" style="54" min="12" max="26"/>
  </cols>
  <sheetData>
    <row r="1" ht="61.5" customHeight="1" s="54">
      <c r="A1" s="1" t="inlineStr">
        <is>
          <t>Work 3. Sources and uses, debt schedule and returns (INT-01 to INT-04): items 49-64</t>
        </is>
      </c>
      <c r="B1" s="2" t="n"/>
      <c r="C1" s="2" t="n"/>
      <c r="D1" s="2" t="n"/>
      <c r="E1" s="2" t="n"/>
      <c r="F1" s="2" t="n"/>
      <c r="G1" s="2" t="n"/>
      <c r="H1" s="2" t="n"/>
      <c r="I1" s="2" t="n"/>
      <c r="J1" s="2" t="n"/>
    </row>
    <row r="2" ht="14.25" customHeight="1" s="54">
      <c r="A2" s="4" t="inlineStr">
        <is>
          <t>Fill every yellow cell with a formula. $ millions. Year 0 is the close at the end of the LTM period. The downside block uses the Downside inputs in column D. Price and debt are sized on management's EBITDA (C32); the projection starts from your underwriting EBITDA (C33).</t>
        </is>
      </c>
    </row>
    <row r="3" ht="14.25" customHeight="1" s="54"/>
    <row r="4" ht="14.25" customHeight="1" s="54">
      <c r="A4" s="7" t="inlineStr">
        <is>
          <t>Item</t>
        </is>
      </c>
      <c r="B4" s="7" t="inlineStr">
        <is>
          <t>Answer</t>
        </is>
      </c>
      <c r="C4" s="7" t="inlineStr">
        <is>
          <t>Value</t>
        </is>
      </c>
      <c r="D4" s="7" t="inlineStr">
        <is>
          <t>Unit</t>
        </is>
      </c>
    </row>
    <row r="5" ht="16.5" customHeight="1" s="54">
      <c r="A5" s="5" t="inlineStr">
        <is>
          <t>Item 49</t>
        </is>
      </c>
      <c r="B5" s="9" t="inlineStr">
        <is>
          <t>Purchase enterprise value</t>
        </is>
      </c>
      <c r="C5" s="27">
        <f>C50</f>
        <v/>
      </c>
      <c r="D5" s="4" t="inlineStr">
        <is>
          <t>$ millions</t>
        </is>
      </c>
    </row>
    <row r="6" ht="16.5" customHeight="1" s="54">
      <c r="A6" s="5" t="inlineStr">
        <is>
          <t>Item 50</t>
        </is>
      </c>
      <c r="B6" s="9" t="inlineStr">
        <is>
          <t>Total fees</t>
        </is>
      </c>
      <c r="C6" s="27">
        <f>C53</f>
        <v/>
      </c>
      <c r="D6" s="4" t="inlineStr">
        <is>
          <t>$ millions</t>
        </is>
      </c>
    </row>
    <row r="7" ht="16.5" customHeight="1" s="54">
      <c r="A7" s="5" t="inlineStr">
        <is>
          <t>Item 51</t>
        </is>
      </c>
      <c r="B7" s="9" t="inlineStr">
        <is>
          <t>Total uses</t>
        </is>
      </c>
      <c r="C7" s="27">
        <f>C55</f>
        <v/>
      </c>
      <c r="D7" s="4" t="inlineStr">
        <is>
          <t>$ millions</t>
        </is>
      </c>
    </row>
    <row r="8" ht="16.5" customHeight="1" s="54">
      <c r="A8" s="5" t="inlineStr">
        <is>
          <t>Item 52</t>
        </is>
      </c>
      <c r="B8" s="9" t="inlineStr">
        <is>
          <t>Term loan B</t>
        </is>
      </c>
      <c r="C8" s="27">
        <f>C56</f>
        <v/>
      </c>
      <c r="D8" s="4" t="inlineStr">
        <is>
          <t>$ millions</t>
        </is>
      </c>
    </row>
    <row r="9" ht="16.5" customHeight="1" s="54">
      <c r="A9" s="5" t="inlineStr">
        <is>
          <t>Item 53</t>
        </is>
      </c>
      <c r="B9" s="9" t="inlineStr">
        <is>
          <t>Seller note</t>
        </is>
      </c>
      <c r="C9" s="27">
        <f>C57</f>
        <v/>
      </c>
      <c r="D9" s="4" t="inlineStr">
        <is>
          <t>$ millions</t>
        </is>
      </c>
    </row>
    <row r="10" ht="16.5" customHeight="1" s="54">
      <c r="A10" s="5" t="inlineStr">
        <is>
          <t>Item 54</t>
        </is>
      </c>
      <c r="B10" s="9" t="inlineStr">
        <is>
          <t>Sponsor equity</t>
        </is>
      </c>
      <c r="C10" s="27">
        <f>C58</f>
        <v/>
      </c>
      <c r="D10" s="4" t="inlineStr">
        <is>
          <t>$ millions</t>
        </is>
      </c>
    </row>
    <row r="11" ht="16.5" customHeight="1" s="54">
      <c r="A11" s="5" t="inlineStr">
        <is>
          <t>Item 55</t>
        </is>
      </c>
      <c r="B11" s="9" t="inlineStr">
        <is>
          <t>Goodwill created at close</t>
        </is>
      </c>
      <c r="C11" s="27">
        <f>C60</f>
        <v/>
      </c>
      <c r="D11" s="4" t="inlineStr">
        <is>
          <t>$ millions</t>
        </is>
      </c>
    </row>
    <row r="12" ht="16.5" customHeight="1" s="54">
      <c r="A12" s="5" t="inlineStr">
        <is>
          <t>Item 56</t>
        </is>
      </c>
      <c r="B12" s="9" t="inlineStr">
        <is>
          <t>Entry multiple on your underwriting EBITDA</t>
        </is>
      </c>
      <c r="C12" s="35">
        <f>C61</f>
        <v/>
      </c>
      <c r="D12" s="4" t="inlineStr">
        <is>
          <t>x</t>
        </is>
      </c>
    </row>
    <row r="13" ht="30" customHeight="1" s="54">
      <c r="A13" s="5" t="inlineStr">
        <is>
          <t>Item 57</t>
        </is>
      </c>
      <c r="B13" s="9" t="inlineStr">
        <is>
          <t>Base case, Year 1 cash interest (term loan B + commitment fee)</t>
        </is>
      </c>
      <c r="C13" s="27">
        <f>E75</f>
        <v/>
      </c>
      <c r="D13" s="4" t="inlineStr">
        <is>
          <t>$ millions</t>
        </is>
      </c>
    </row>
    <row r="14" ht="16.5" customHeight="1" s="54">
      <c r="A14" s="5" t="inlineStr">
        <is>
          <t>Item 58</t>
        </is>
      </c>
      <c r="B14" s="9" t="inlineStr">
        <is>
          <t>Base case, Year 3 term loan B ending balance</t>
        </is>
      </c>
      <c r="C14" s="27">
        <f>G72</f>
        <v/>
      </c>
      <c r="D14" s="4" t="inlineStr">
        <is>
          <t>$ millions</t>
        </is>
      </c>
    </row>
    <row r="15" ht="16.5" customHeight="1" s="54">
      <c r="A15" s="5" t="inlineStr">
        <is>
          <t>Item 59</t>
        </is>
      </c>
      <c r="B15" s="9" t="inlineStr">
        <is>
          <t>Base case, exit equity value</t>
        </is>
      </c>
      <c r="C15" s="27">
        <f>D88</f>
        <v/>
      </c>
      <c r="D15" s="4" t="inlineStr">
        <is>
          <t>$ millions</t>
        </is>
      </c>
    </row>
    <row r="16" ht="16.5" customHeight="1" s="54">
      <c r="A16" s="5" t="inlineStr">
        <is>
          <t>Item 60</t>
        </is>
      </c>
      <c r="B16" s="9" t="inlineStr">
        <is>
          <t>Base case, MOIC</t>
        </is>
      </c>
      <c r="C16" s="35">
        <f>D89</f>
        <v/>
      </c>
      <c r="D16" s="4" t="inlineStr">
        <is>
          <t>x</t>
        </is>
      </c>
    </row>
    <row r="17" ht="16.5" customHeight="1" s="54">
      <c r="A17" s="5" t="inlineStr">
        <is>
          <t>Item 61</t>
        </is>
      </c>
      <c r="B17" s="9" t="inlineStr">
        <is>
          <t>Base case, IRR</t>
        </is>
      </c>
      <c r="C17" s="28">
        <f>D90</f>
        <v/>
      </c>
      <c r="D17" s="4" t="inlineStr">
        <is>
          <t>%</t>
        </is>
      </c>
    </row>
    <row r="18" ht="16.5" customHeight="1" s="54">
      <c r="A18" s="5" t="inlineStr">
        <is>
          <t>Item 62</t>
        </is>
      </c>
      <c r="B18" s="9" t="inlineStr">
        <is>
          <t>Downside case, MOIC</t>
        </is>
      </c>
      <c r="C18" s="35">
        <f>D118</f>
        <v/>
      </c>
      <c r="D18" s="4" t="inlineStr">
        <is>
          <t>x</t>
        </is>
      </c>
    </row>
    <row r="19" ht="16.5" customHeight="1" s="54">
      <c r="A19" s="5" t="inlineStr">
        <is>
          <t>Item 63</t>
        </is>
      </c>
      <c r="B19" s="9" t="inlineStr">
        <is>
          <t>Downside case, IRR</t>
        </is>
      </c>
      <c r="C19" s="28">
        <f>D119</f>
        <v/>
      </c>
      <c r="D19" s="4" t="inlineStr">
        <is>
          <t>%</t>
        </is>
      </c>
    </row>
    <row r="20" ht="16.5" customHeight="1" s="54">
      <c r="A20" s="5" t="inlineStr">
        <is>
          <t>Item 64</t>
        </is>
      </c>
      <c r="B20" s="9" t="inlineStr">
        <is>
          <t>Data Table: base IRR at a 9.0x exit in Year 6</t>
        </is>
      </c>
      <c r="C20" s="28">
        <f>H126</f>
        <v/>
      </c>
      <c r="D20" s="4" t="inlineStr">
        <is>
          <t>%</t>
        </is>
      </c>
    </row>
    <row r="21" ht="14.25" customHeight="1" s="54"/>
    <row r="22" ht="14.25" customHeight="1" s="54">
      <c r="A22" s="7" t="n"/>
      <c r="B22" s="7" t="inlineStr">
        <is>
          <t>Projection inputs</t>
        </is>
      </c>
      <c r="C22" s="7" t="inlineStr">
        <is>
          <t>Base</t>
        </is>
      </c>
      <c r="D22" s="7" t="inlineStr">
        <is>
          <t>Downside</t>
        </is>
      </c>
    </row>
    <row r="23" ht="14.25" customHeight="1" s="54">
      <c r="B23" s="10" t="inlineStr">
        <is>
          <t>Year 1 EBITDA growth</t>
        </is>
      </c>
      <c r="C23" s="13" t="n">
        <v>0.08</v>
      </c>
      <c r="D23" s="13" t="n">
        <v>-0.05</v>
      </c>
    </row>
    <row r="24" ht="14.25" customHeight="1" s="54">
      <c r="B24" s="10" t="inlineStr">
        <is>
          <t>EBITDA growth, Years 2-6</t>
        </is>
      </c>
      <c r="C24" s="13" t="n">
        <v>0.08</v>
      </c>
      <c r="D24" s="13" t="n">
        <v>0.04</v>
      </c>
    </row>
    <row r="25" ht="14.25" customHeight="1" s="54">
      <c r="B25" s="10" t="inlineStr">
        <is>
          <t>Capex, % of EBITDA</t>
        </is>
      </c>
      <c r="C25" s="13" t="n">
        <v>0.25</v>
      </c>
      <c r="D25" s="13" t="n">
        <v>0.25</v>
      </c>
    </row>
    <row r="26" ht="14.25" customHeight="1" s="54">
      <c r="B26" s="10" t="inlineStr">
        <is>
          <t>Increase in net working capital, per year</t>
        </is>
      </c>
      <c r="C26" s="15" t="n">
        <v>0.3</v>
      </c>
      <c r="D26" s="15" t="n">
        <v>0.4</v>
      </c>
    </row>
    <row r="27" ht="14.25" customHeight="1" s="54">
      <c r="B27" s="10" t="inlineStr">
        <is>
          <t>Exit multiple</t>
        </is>
      </c>
      <c r="C27" s="19" t="n">
        <v>8</v>
      </c>
      <c r="D27" s="19" t="n">
        <v>7</v>
      </c>
    </row>
    <row r="28" ht="14.25" customHeight="1" s="54">
      <c r="B28" s="10" t="inlineStr">
        <is>
          <t>Exit year</t>
        </is>
      </c>
      <c r="C28" s="26" t="n">
        <v>5</v>
      </c>
      <c r="D28" s="26" t="n">
        <v>6</v>
      </c>
    </row>
    <row r="29" ht="14.25" customHeight="1" s="54">
      <c r="B29" s="10" t="inlineStr">
        <is>
          <t>Interest toggle, both cases: 1 = average balance, 0 = opening balance. Leave at 1 when you submit.</t>
        </is>
      </c>
      <c r="C29" s="26" t="n">
        <v>1</v>
      </c>
    </row>
    <row r="30" ht="14.25" customHeight="1" s="54"/>
    <row r="31" ht="14.25" customHeight="1" s="54">
      <c r="A31" s="7" t="n"/>
      <c r="B31" s="7" t="inlineStr">
        <is>
          <t>Links</t>
        </is>
      </c>
      <c r="C31" s="7" t="inlineStr">
        <is>
          <t>Value</t>
        </is>
      </c>
      <c r="D31" s="7" t="n"/>
    </row>
    <row r="32" ht="14.25" customHeight="1" s="54">
      <c r="B32" s="10" t="inlineStr">
        <is>
          <t>Management Adjusted EBITDA</t>
        </is>
      </c>
      <c r="C32" s="29">
        <f>'Case Exhibits'!$B$23</f>
        <v/>
      </c>
    </row>
    <row r="33" ht="14.25" customHeight="1" s="54">
      <c r="B33" s="10" t="inlineStr">
        <is>
          <t>Underwriting EBITDA (Work 2, item 48)</t>
        </is>
      </c>
      <c r="C33" s="29">
        <f>'Work 2'!D13</f>
        <v/>
      </c>
    </row>
    <row r="34" ht="14.25" customHeight="1" s="54">
      <c r="B34" s="10" t="inlineStr">
        <is>
          <t>Bid multiple</t>
        </is>
      </c>
      <c r="C34" s="36">
        <f>'Case Exhibits'!$B$37</f>
        <v/>
      </c>
    </row>
    <row r="35" ht="14.25" customHeight="1" s="54">
      <c r="B35" s="10" t="inlineStr">
        <is>
          <t>Advisory and other fees, % of EV</t>
        </is>
      </c>
      <c r="C35" s="34">
        <f>'Case Exhibits'!$B$38</f>
        <v/>
      </c>
    </row>
    <row r="36" ht="14.25" customHeight="1" s="54">
      <c r="B36" s="10" t="inlineStr">
        <is>
          <t>Financing fees, % of term loan B</t>
        </is>
      </c>
      <c r="C36" s="34">
        <f>'Case Exhibits'!$B$39</f>
        <v/>
      </c>
    </row>
    <row r="37" ht="14.25" customHeight="1" s="54">
      <c r="B37" s="10" t="inlineStr">
        <is>
          <t>Minimum cash</t>
        </is>
      </c>
      <c r="C37" s="29">
        <f>'Case Exhibits'!$B$40</f>
        <v/>
      </c>
    </row>
    <row r="38" ht="14.25" customHeight="1" s="54">
      <c r="B38" s="10" t="inlineStr">
        <is>
          <t>Fair value of net identifiable assets</t>
        </is>
      </c>
      <c r="C38" s="29">
        <f>'Case Exhibits'!$B$41</f>
        <v/>
      </c>
    </row>
    <row r="39" ht="14.25" customHeight="1" s="54">
      <c r="B39" s="10" t="inlineStr">
        <is>
          <t>Term loan B, multiple of Management Adjusted EBITDA</t>
        </is>
      </c>
      <c r="C39" s="36">
        <f>'Case Exhibits'!$B$42</f>
        <v/>
      </c>
    </row>
    <row r="40" ht="14.25" customHeight="1" s="54">
      <c r="B40" s="10" t="inlineStr">
        <is>
          <t>Term loan B all-in rate</t>
        </is>
      </c>
      <c r="C40" s="37">
        <f>'Case Exhibits'!$B$45</f>
        <v/>
      </c>
    </row>
    <row r="41" ht="14.25" customHeight="1" s="54">
      <c r="B41" s="10" t="inlineStr">
        <is>
          <t>Mandatory amortization, % of original</t>
        </is>
      </c>
      <c r="C41" s="34">
        <f>'Case Exhibits'!$B$46</f>
        <v/>
      </c>
    </row>
    <row r="42" ht="14.25" customHeight="1" s="54">
      <c r="B42" s="10" t="inlineStr">
        <is>
          <t>Revolver commitment</t>
        </is>
      </c>
      <c r="C42" s="29">
        <f>'Case Exhibits'!$B$47</f>
        <v/>
      </c>
    </row>
    <row r="43" ht="14.25" customHeight="1" s="54">
      <c r="B43" s="10" t="inlineStr">
        <is>
          <t>Commitment fee on undrawn revolver</t>
        </is>
      </c>
      <c r="C43" s="37">
        <f>'Case Exhibits'!$B$48</f>
        <v/>
      </c>
    </row>
    <row r="44" ht="14.25" customHeight="1" s="54">
      <c r="B44" s="10" t="inlineStr">
        <is>
          <t>Seller note, % of EV</t>
        </is>
      </c>
      <c r="C44" s="34">
        <f>'Case Exhibits'!$B$49</f>
        <v/>
      </c>
    </row>
    <row r="45" ht="14.25" customHeight="1" s="54">
      <c r="B45" s="10" t="inlineStr">
        <is>
          <t>Seller note PIK rate</t>
        </is>
      </c>
      <c r="C45" s="37">
        <f>'Case Exhibits'!$B$50</f>
        <v/>
      </c>
    </row>
    <row r="46" ht="14.25" customHeight="1" s="54">
      <c r="B46" s="10" t="inlineStr">
        <is>
          <t>Cash tax rate</t>
        </is>
      </c>
      <c r="C46" s="34">
        <f>'Case Exhibits'!$B$34</f>
        <v/>
      </c>
    </row>
    <row r="47" ht="14.25" customHeight="1" s="54">
      <c r="B47" s="10" t="inlineStr">
        <is>
          <t>Depreciation and amortization, per year</t>
        </is>
      </c>
      <c r="C47" s="29">
        <f>'Case Exhibits'!$B$33</f>
        <v/>
      </c>
    </row>
    <row r="48" ht="14.25" customHeight="1" s="54"/>
    <row r="49" ht="14.25" customHeight="1" s="54">
      <c r="A49" s="7" t="n"/>
      <c r="B49" s="7" t="inlineStr">
        <is>
          <t>Sources and uses</t>
        </is>
      </c>
      <c r="C49" s="7" t="inlineStr">
        <is>
          <t>Value</t>
        </is>
      </c>
      <c r="D49" s="7" t="n"/>
    </row>
    <row r="50" ht="14.25" customHeight="1" s="54">
      <c r="B50" s="10" t="inlineStr">
        <is>
          <t>Purchase enterprise value</t>
        </is>
      </c>
      <c r="C50" s="30">
        <f>C34*C32</f>
        <v/>
      </c>
    </row>
    <row r="51" ht="14.25" customHeight="1" s="54">
      <c r="B51" s="10" t="inlineStr">
        <is>
          <t>Advisory and other fees</t>
        </is>
      </c>
      <c r="C51" s="30">
        <f>C35*C50</f>
        <v/>
      </c>
    </row>
    <row r="52" ht="14.25" customHeight="1" s="54">
      <c r="B52" s="10" t="inlineStr">
        <is>
          <t>Financing fees</t>
        </is>
      </c>
      <c r="C52" s="30">
        <f>C36*C56</f>
        <v/>
      </c>
    </row>
    <row r="53" ht="14.25" customHeight="1" s="54">
      <c r="B53" s="5" t="inlineStr">
        <is>
          <t>Total fees</t>
        </is>
      </c>
      <c r="C53" s="30">
        <f>C51+C52</f>
        <v/>
      </c>
    </row>
    <row r="54" ht="14.25" customHeight="1" s="54">
      <c r="B54" s="10" t="inlineStr">
        <is>
          <t>Minimum cash to balance sheet</t>
        </is>
      </c>
      <c r="C54" s="30">
        <f>C37</f>
        <v/>
      </c>
    </row>
    <row r="55" ht="14.25" customHeight="1" s="54">
      <c r="B55" s="5" t="inlineStr">
        <is>
          <t>Total uses</t>
        </is>
      </c>
      <c r="C55" s="30">
        <f>C50+C53+C54</f>
        <v/>
      </c>
    </row>
    <row r="56" ht="14.25" customHeight="1" s="54">
      <c r="B56" s="10" t="inlineStr">
        <is>
          <t>Term loan B</t>
        </is>
      </c>
      <c r="C56" s="30">
        <f>C39*C32</f>
        <v/>
      </c>
    </row>
    <row r="57" ht="14.25" customHeight="1" s="54">
      <c r="B57" s="10" t="inlineStr">
        <is>
          <t>Seller note</t>
        </is>
      </c>
      <c r="C57" s="30">
        <f>C44*C50</f>
        <v/>
      </c>
    </row>
    <row r="58" ht="14.25" customHeight="1" s="54">
      <c r="B58" s="10" t="inlineStr">
        <is>
          <t>Sponsor equity (plug)</t>
        </is>
      </c>
      <c r="C58" s="30">
        <f>C55-C56-C57</f>
        <v/>
      </c>
    </row>
    <row r="59" ht="14.25" customHeight="1" s="54">
      <c r="B59" s="5" t="inlineStr">
        <is>
          <t>Total sources</t>
        </is>
      </c>
      <c r="C59" s="30">
        <f>C56+C57+C58</f>
        <v/>
      </c>
    </row>
    <row r="60" ht="14.25" customHeight="1" s="54">
      <c r="B60" s="10" t="inlineStr">
        <is>
          <t>Goodwill created at close</t>
        </is>
      </c>
      <c r="C60" s="30">
        <f>C50-C38</f>
        <v/>
      </c>
    </row>
    <row r="61" ht="14.25" customHeight="1" s="54">
      <c r="B61" s="10" t="inlineStr">
        <is>
          <t>Entry multiple on underwriting EBITDA</t>
        </is>
      </c>
      <c r="C61" s="38">
        <f>C50/C33</f>
        <v/>
      </c>
    </row>
    <row r="62" ht="14.25" customHeight="1" s="54"/>
    <row r="63" ht="14.25" customHeight="1" s="54">
      <c r="A63" s="7" t="n"/>
      <c r="B63" s="7" t="inlineStr">
        <is>
          <t>Base case projection</t>
        </is>
      </c>
      <c r="C63" s="7" t="n"/>
      <c r="D63" s="7" t="inlineStr">
        <is>
          <t>Year 0</t>
        </is>
      </c>
      <c r="E63" s="7" t="inlineStr">
        <is>
          <t>Year 1</t>
        </is>
      </c>
      <c r="F63" s="7" t="inlineStr">
        <is>
          <t>Year 2</t>
        </is>
      </c>
      <c r="G63" s="7" t="inlineStr">
        <is>
          <t>Year 3</t>
        </is>
      </c>
      <c r="H63" s="7" t="inlineStr">
        <is>
          <t>Year 4</t>
        </is>
      </c>
      <c r="I63" s="7" t="inlineStr">
        <is>
          <t>Year 5</t>
        </is>
      </c>
      <c r="J63" s="7" t="inlineStr">
        <is>
          <t>Year 6</t>
        </is>
      </c>
    </row>
    <row r="64" ht="14.25" customHeight="1" s="54">
      <c r="B64" s="4" t="inlineStr">
        <is>
          <t>Year</t>
        </is>
      </c>
      <c r="D64" s="26" t="n">
        <v>0</v>
      </c>
      <c r="E64" s="26" t="n">
        <v>1</v>
      </c>
      <c r="F64" s="26" t="n">
        <v>2</v>
      </c>
      <c r="G64" s="26" t="n">
        <v>3</v>
      </c>
      <c r="H64" s="26" t="n">
        <v>4</v>
      </c>
      <c r="I64" s="26" t="n">
        <v>5</v>
      </c>
      <c r="J64" s="26" t="n">
        <v>6</v>
      </c>
    </row>
    <row r="65" ht="14.25" customHeight="1" s="54">
      <c r="B65" s="10" t="inlineStr">
        <is>
          <t>EBITDA</t>
        </is>
      </c>
      <c r="D65" s="30">
        <f>$C$33</f>
        <v/>
      </c>
      <c r="E65" s="30">
        <f>D65*(1+$C$23)</f>
        <v/>
      </c>
      <c r="F65" s="30">
        <f>E65*(1+$C$24)</f>
        <v/>
      </c>
      <c r="G65" s="30">
        <f>F65*(1+$C$24)</f>
        <v/>
      </c>
      <c r="H65" s="30">
        <f>G65*(1+$C$24)</f>
        <v/>
      </c>
      <c r="I65" s="30">
        <f>H65*(1+$C$24)</f>
        <v/>
      </c>
      <c r="J65" s="30">
        <f>I65*(1+$C$24)</f>
        <v/>
      </c>
      <c r="K65" s="4" t="inlineStr">
        <is>
          <t>Year 0 = your underwriting EBITDA (C33). Then prior year x (1 + growth); Year 1 uses the Year 1 growth input.</t>
        </is>
      </c>
    </row>
    <row r="66" ht="14.25" customHeight="1" s="54">
      <c r="B66" s="10" t="inlineStr">
        <is>
          <t>Capital expenditures</t>
        </is>
      </c>
      <c r="E66" s="30">
        <f>E65*$C$25</f>
        <v/>
      </c>
      <c r="F66" s="30">
        <f>F65*$C$25</f>
        <v/>
      </c>
      <c r="G66" s="30">
        <f>G65*$C$25</f>
        <v/>
      </c>
      <c r="H66" s="30">
        <f>H65*$C$25</f>
        <v/>
      </c>
      <c r="I66" s="30">
        <f>I65*$C$25</f>
        <v/>
      </c>
      <c r="J66" s="30">
        <f>J65*$C$25</f>
        <v/>
      </c>
      <c r="K66" s="4" t="inlineStr">
        <is>
          <t>Capex % x EBITDA.</t>
        </is>
      </c>
    </row>
    <row r="67" ht="14.25" customHeight="1" s="54">
      <c r="B67" s="10" t="inlineStr">
        <is>
          <t>Increase in net working capital</t>
        </is>
      </c>
      <c r="E67" s="30">
        <f>$C$26</f>
        <v/>
      </c>
      <c r="F67" s="30">
        <f>$C$26</f>
        <v/>
      </c>
      <c r="G67" s="30">
        <f>$C$26</f>
        <v/>
      </c>
      <c r="H67" s="30">
        <f>$C$26</f>
        <v/>
      </c>
      <c r="I67" s="30">
        <f>$C$26</f>
        <v/>
      </c>
      <c r="J67" s="30">
        <f>$C$26</f>
        <v/>
      </c>
      <c r="K67" s="4" t="inlineStr">
        <is>
          <t>The increase in NWC input, every year.</t>
        </is>
      </c>
    </row>
    <row r="68" ht="14.25" customHeight="1" s="54">
      <c r="B68" s="10" t="inlineStr">
        <is>
          <t>Seller note PIK interest</t>
        </is>
      </c>
      <c r="E68" s="30">
        <f>D80*$C$45</f>
        <v/>
      </c>
      <c r="F68" s="30">
        <f>E80*$C$45</f>
        <v/>
      </c>
      <c r="G68" s="30">
        <f>F80*$C$45</f>
        <v/>
      </c>
      <c r="H68" s="30">
        <f>G80*$C$45</f>
        <v/>
      </c>
      <c r="I68" s="30">
        <f>H80*$C$45</f>
        <v/>
      </c>
      <c r="J68" s="30">
        <f>I80*$C$45</f>
        <v/>
      </c>
      <c r="K68" s="4" t="inlineStr">
        <is>
          <t>Prior-year seller note closing x PIK rate.</t>
        </is>
      </c>
    </row>
    <row r="69" ht="14.25" customHeight="1" s="54">
      <c r="B69" s="10" t="inlineStr">
        <is>
          <t>Term loan B, opening</t>
        </is>
      </c>
      <c r="E69" s="30">
        <f>D72</f>
        <v/>
      </c>
      <c r="F69" s="30">
        <f>E72</f>
        <v/>
      </c>
      <c r="G69" s="30">
        <f>F72</f>
        <v/>
      </c>
      <c r="H69" s="30">
        <f>G72</f>
        <v/>
      </c>
      <c r="I69" s="30">
        <f>H72</f>
        <v/>
      </c>
      <c r="J69" s="30">
        <f>I72</f>
        <v/>
      </c>
      <c r="K69" s="4" t="inlineStr">
        <is>
          <t>Prior-year closing balance.</t>
        </is>
      </c>
    </row>
    <row r="70" ht="14.25" customHeight="1" s="54">
      <c r="B70" s="10" t="inlineStr">
        <is>
          <t>Mandatory amortization</t>
        </is>
      </c>
      <c r="E70" s="30">
        <f>MIN($C$41*$C$56,E69)</f>
        <v/>
      </c>
      <c r="F70" s="30">
        <f>MIN($C$41*$C$56,F69)</f>
        <v/>
      </c>
      <c r="G70" s="30">
        <f>MIN($C$41*$C$56,G69)</f>
        <v/>
      </c>
      <c r="H70" s="30">
        <f>MIN($C$41*$C$56,H69)</f>
        <v/>
      </c>
      <c r="I70" s="30">
        <f>MIN($C$41*$C$56,I69)</f>
        <v/>
      </c>
      <c r="J70" s="30">
        <f>MIN($C$41*$C$56,J69)</f>
        <v/>
      </c>
      <c r="K70" s="4" t="inlineStr">
        <is>
          <t>Mandatory % x term loan B at close, capped at the opening balance.</t>
        </is>
      </c>
    </row>
    <row r="71" ht="14.25" customHeight="1" s="54">
      <c r="B71" s="10" t="inlineStr">
        <is>
          <t>Optional repayment (cash sweep)</t>
        </is>
      </c>
      <c r="E71" s="30">
        <f>MAX(MIN(D79+E78-$C$37,E69-E70),0)</f>
        <v/>
      </c>
      <c r="F71" s="30">
        <f>MAX(MIN(E79+F78-$C$37,F69-F70),0)</f>
        <v/>
      </c>
      <c r="G71" s="30">
        <f>MAX(MIN(F79+G78-$C$37,G69-G70),0)</f>
        <v/>
      </c>
      <c r="H71" s="30">
        <f>MAX(MIN(G79+H78-$C$37,H69-H70),0)</f>
        <v/>
      </c>
      <c r="I71" s="30">
        <f>MAX(MIN(H79+I78-$C$37,I69-I70),0)</f>
        <v/>
      </c>
      <c r="J71" s="30">
        <f>MAX(MIN(I79+J78-$C$37,J69-J70),0)</f>
        <v/>
      </c>
      <c r="K71" s="4" t="inlineStr">
        <is>
          <t>Prior-year cash + this year's cash available - minimum cash, capped at opening balance - mandatory amortization. Never below zero.</t>
        </is>
      </c>
    </row>
    <row r="72" ht="14.25" customHeight="1" s="54">
      <c r="B72" s="5" t="inlineStr">
        <is>
          <t>Term loan B, closing</t>
        </is>
      </c>
      <c r="D72" s="30">
        <f>$C$56</f>
        <v/>
      </c>
      <c r="E72" s="30">
        <f>E69-E70-E71</f>
        <v/>
      </c>
      <c r="F72" s="30">
        <f>F69-F70-F71</f>
        <v/>
      </c>
      <c r="G72" s="30">
        <f>G69-G70-G71</f>
        <v/>
      </c>
      <c r="H72" s="30">
        <f>H69-H70-H71</f>
        <v/>
      </c>
      <c r="I72" s="30">
        <f>I69-I70-I71</f>
        <v/>
      </c>
      <c r="J72" s="30">
        <f>J69-J70-J71</f>
        <v/>
      </c>
      <c r="K72" s="4" t="inlineStr">
        <is>
          <t>Year 0 = term loan B at close (C56). Then opening - mandatory - optional repayment.</t>
        </is>
      </c>
    </row>
    <row r="73" ht="14.25" customHeight="1" s="54">
      <c r="B73" s="10" t="inlineStr">
        <is>
          <t>Term loan B interest</t>
        </is>
      </c>
      <c r="E73" s="30">
        <f>IFERROR(IF($C$29,AVERAGE(E69,E72),E69)*$C$40,E69*$C$40)</f>
        <v/>
      </c>
      <c r="F73" s="30">
        <f>IFERROR(IF($C$29,AVERAGE(F69,F72),F69)*$C$40,F69*$C$40)</f>
        <v/>
      </c>
      <c r="G73" s="30">
        <f>IFERROR(IF($C$29,AVERAGE(G69,G72),G69)*$C$40,G69*$C$40)</f>
        <v/>
      </c>
      <c r="H73" s="30">
        <f>IFERROR(IF($C$29,AVERAGE(H69,H72),H69)*$C$40,H69*$C$40)</f>
        <v/>
      </c>
      <c r="I73" s="30">
        <f>IFERROR(IF($C$29,AVERAGE(I69,I72),I69)*$C$40,I69*$C$40)</f>
        <v/>
      </c>
      <c r="J73" s="30">
        <f>IFERROR(IF($C$29,AVERAGE(J69,J72),J69)*$C$40,J69*$C$40)</f>
        <v/>
      </c>
      <c r="K73" s="4" t="inlineStr">
        <is>
          <t>Average of opening and closing balance x all-in rate (opening balance when the toggle is 0).</t>
        </is>
      </c>
    </row>
    <row r="74" ht="14.25" customHeight="1" s="54">
      <c r="B74" s="10" t="inlineStr">
        <is>
          <t>Revolver commitment fee</t>
        </is>
      </c>
      <c r="E74" s="30">
        <f>$C$42*$C$43</f>
        <v/>
      </c>
      <c r="F74" s="30">
        <f>$C$42*$C$43</f>
        <v/>
      </c>
      <c r="G74" s="30">
        <f>$C$42*$C$43</f>
        <v/>
      </c>
      <c r="H74" s="30">
        <f>$C$42*$C$43</f>
        <v/>
      </c>
      <c r="I74" s="30">
        <f>$C$42*$C$43</f>
        <v/>
      </c>
      <c r="J74" s="30">
        <f>$C$42*$C$43</f>
        <v/>
      </c>
      <c r="K74" s="4" t="inlineStr">
        <is>
          <t>Revolver commitment x fee (the revolver stays undrawn).</t>
        </is>
      </c>
    </row>
    <row r="75" ht="14.25" customHeight="1" s="54">
      <c r="B75" s="10" t="inlineStr">
        <is>
          <t>Cash interest</t>
        </is>
      </c>
      <c r="E75" s="30">
        <f>E73+E74</f>
        <v/>
      </c>
      <c r="F75" s="30">
        <f>F73+F74</f>
        <v/>
      </c>
      <c r="G75" s="30">
        <f>G73+G74</f>
        <v/>
      </c>
      <c r="H75" s="30">
        <f>H73+H74</f>
        <v/>
      </c>
      <c r="I75" s="30">
        <f>I73+I74</f>
        <v/>
      </c>
      <c r="J75" s="30">
        <f>J73+J74</f>
        <v/>
      </c>
      <c r="K75" s="4" t="inlineStr">
        <is>
          <t>Term loan B interest + commitment fee.</t>
        </is>
      </c>
    </row>
    <row r="76" ht="14.25" customHeight="1" s="54">
      <c r="B76" s="10" t="inlineStr">
        <is>
          <t>Cash taxes</t>
        </is>
      </c>
      <c r="E76" s="30">
        <f>MAX($C$46*(E65-$C$47-E75-E68),0)</f>
        <v/>
      </c>
      <c r="F76" s="30">
        <f>MAX($C$46*(F65-$C$47-F75-F68),0)</f>
        <v/>
      </c>
      <c r="G76" s="30">
        <f>MAX($C$46*(G65-$C$47-G75-G68),0)</f>
        <v/>
      </c>
      <c r="H76" s="30">
        <f>MAX($C$46*(H65-$C$47-H75-H68),0)</f>
        <v/>
      </c>
      <c r="I76" s="30">
        <f>MAX($C$46*(I65-$C$47-I75-I68),0)</f>
        <v/>
      </c>
      <c r="J76" s="30">
        <f>MAX($C$46*(J65-$C$47-J75-J68),0)</f>
        <v/>
      </c>
      <c r="K76" s="4" t="inlineStr">
        <is>
          <t>Tax rate x (EBITDA - D&amp;A - cash interest - seller note PIK interest), not below zero.</t>
        </is>
      </c>
    </row>
    <row r="77" ht="14.25" customHeight="1" s="54">
      <c r="B77" s="5" t="inlineStr">
        <is>
          <t>Levered free cash flow</t>
        </is>
      </c>
      <c r="E77" s="30">
        <f>E65-E75-E76-E66-E67</f>
        <v/>
      </c>
      <c r="F77" s="30">
        <f>F65-F75-F76-F66-F67</f>
        <v/>
      </c>
      <c r="G77" s="30">
        <f>G65-G75-G76-G66-G67</f>
        <v/>
      </c>
      <c r="H77" s="30">
        <f>H65-H75-H76-H66-H67</f>
        <v/>
      </c>
      <c r="I77" s="30">
        <f>I65-I75-I76-I66-I67</f>
        <v/>
      </c>
      <c r="J77" s="30">
        <f>J65-J75-J76-J66-J67</f>
        <v/>
      </c>
      <c r="K77" s="4" t="inlineStr">
        <is>
          <t>EBITDA - cash interest - cash taxes - capex - increase in NWC.</t>
        </is>
      </c>
    </row>
    <row r="78" ht="14.25" customHeight="1" s="54">
      <c r="B78" s="10" t="inlineStr">
        <is>
          <t>Cash available for discretionary repayment</t>
        </is>
      </c>
      <c r="E78" s="30">
        <f>E77-E70</f>
        <v/>
      </c>
      <c r="F78" s="30">
        <f>F77-F70</f>
        <v/>
      </c>
      <c r="G78" s="30">
        <f>G77-G70</f>
        <v/>
      </c>
      <c r="H78" s="30">
        <f>H77-H70</f>
        <v/>
      </c>
      <c r="I78" s="30">
        <f>I77-I70</f>
        <v/>
      </c>
      <c r="J78" s="30">
        <f>J77-J70</f>
        <v/>
      </c>
      <c r="K78" s="4" t="inlineStr">
        <is>
          <t>Levered free cash flow - mandatory amortization.</t>
        </is>
      </c>
    </row>
    <row r="79" ht="14.25" customHeight="1" s="54">
      <c r="B79" s="10" t="inlineStr">
        <is>
          <t>Cash, closing</t>
        </is>
      </c>
      <c r="D79" s="30">
        <f>$C$37</f>
        <v/>
      </c>
      <c r="E79" s="30">
        <f>D79+E78-E71</f>
        <v/>
      </c>
      <c r="F79" s="30">
        <f>E79+F78-F71</f>
        <v/>
      </c>
      <c r="G79" s="30">
        <f>F79+G78-G71</f>
        <v/>
      </c>
      <c r="H79" s="30">
        <f>G79+H78-H71</f>
        <v/>
      </c>
      <c r="I79" s="30">
        <f>H79+I78-I71</f>
        <v/>
      </c>
      <c r="J79" s="30">
        <f>I79+J78-J71</f>
        <v/>
      </c>
      <c r="K79" s="4" t="inlineStr">
        <is>
          <t>Year 0 = minimum cash (C37). Then prior-year cash + cash available - optional repayment.</t>
        </is>
      </c>
    </row>
    <row r="80" ht="14.25" customHeight="1" s="54">
      <c r="B80" s="10" t="inlineStr">
        <is>
          <t>Seller note, closing</t>
        </is>
      </c>
      <c r="D80" s="30">
        <f>$C$57</f>
        <v/>
      </c>
      <c r="E80" s="30">
        <f>D80+E68</f>
        <v/>
      </c>
      <c r="F80" s="30">
        <f>E80+F68</f>
        <v/>
      </c>
      <c r="G80" s="30">
        <f>F80+G68</f>
        <v/>
      </c>
      <c r="H80" s="30">
        <f>G80+H68</f>
        <v/>
      </c>
      <c r="I80" s="30">
        <f>H80+I68</f>
        <v/>
      </c>
      <c r="J80" s="30">
        <f>I80+J68</f>
        <v/>
      </c>
      <c r="K80" s="4" t="inlineStr">
        <is>
          <t>Year 0 = seller note at close (C57). Then prior-year balance + PIK interest.</t>
        </is>
      </c>
    </row>
    <row r="81" ht="14.25" customHeight="1" s="54"/>
    <row r="82" ht="14.25" customHeight="1" s="54">
      <c r="B82" s="10" t="inlineStr">
        <is>
          <t>Exit year</t>
        </is>
      </c>
      <c r="D82" s="39">
        <f>$C28</f>
        <v/>
      </c>
    </row>
    <row r="83" ht="14.25" customHeight="1" s="54">
      <c r="B83" s="10" t="inlineStr">
        <is>
          <t>Exit EBITDA</t>
        </is>
      </c>
      <c r="D83" s="30">
        <f>INDEX($E65:$J65,D82)</f>
        <v/>
      </c>
    </row>
    <row r="84" ht="14.25" customHeight="1" s="54">
      <c r="B84" s="10" t="inlineStr">
        <is>
          <t>Exit enterprise value</t>
        </is>
      </c>
      <c r="D84" s="30">
        <f>D83*$C27</f>
        <v/>
      </c>
    </row>
    <row r="85" ht="14.25" customHeight="1" s="54">
      <c r="B85" s="10" t="inlineStr">
        <is>
          <t>Less: term loan B at exit</t>
        </is>
      </c>
      <c r="D85" s="30">
        <f>INDEX($E72:$J72,D82)</f>
        <v/>
      </c>
    </row>
    <row r="86" ht="14.25" customHeight="1" s="54">
      <c r="B86" s="10" t="inlineStr">
        <is>
          <t>Less: seller note at exit</t>
        </is>
      </c>
      <c r="D86" s="30">
        <f>INDEX($E80:$J80,D82)</f>
        <v/>
      </c>
    </row>
    <row r="87" ht="14.25" customHeight="1" s="54">
      <c r="B87" s="10" t="inlineStr">
        <is>
          <t>Plus: cash at exit</t>
        </is>
      </c>
      <c r="D87" s="30">
        <f>INDEX($E79:$J79,D82)</f>
        <v/>
      </c>
    </row>
    <row r="88" ht="14.25" customHeight="1" s="54">
      <c r="B88" s="5" t="inlineStr">
        <is>
          <t>Exit equity value</t>
        </is>
      </c>
      <c r="D88" s="30">
        <f>D84-D85-D86+D87</f>
        <v/>
      </c>
    </row>
    <row r="89" ht="14.25" customHeight="1" s="54">
      <c r="B89" s="5" t="inlineStr">
        <is>
          <t>MOIC</t>
        </is>
      </c>
      <c r="D89" s="38">
        <f>D88/$C$58</f>
        <v/>
      </c>
    </row>
    <row r="90" ht="14.25" customHeight="1" s="54">
      <c r="B90" s="5" t="inlineStr">
        <is>
          <t>IRR</t>
        </is>
      </c>
      <c r="D90" s="40">
        <f>D89^(1/D82)-1</f>
        <v/>
      </c>
    </row>
    <row r="91" ht="14.25" customHeight="1" s="54"/>
    <row r="92" ht="14.25" customHeight="1" s="54">
      <c r="A92" s="7" t="n"/>
      <c r="B92" s="7" t="inlineStr">
        <is>
          <t>Downside case projection</t>
        </is>
      </c>
      <c r="C92" s="7" t="n"/>
      <c r="D92" s="7" t="inlineStr">
        <is>
          <t>Year 0</t>
        </is>
      </c>
      <c r="E92" s="7" t="inlineStr">
        <is>
          <t>Year 1</t>
        </is>
      </c>
      <c r="F92" s="7" t="inlineStr">
        <is>
          <t>Year 2</t>
        </is>
      </c>
      <c r="G92" s="7" t="inlineStr">
        <is>
          <t>Year 3</t>
        </is>
      </c>
      <c r="H92" s="7" t="inlineStr">
        <is>
          <t>Year 4</t>
        </is>
      </c>
      <c r="I92" s="7" t="inlineStr">
        <is>
          <t>Year 5</t>
        </is>
      </c>
      <c r="J92" s="7" t="inlineStr">
        <is>
          <t>Year 6</t>
        </is>
      </c>
    </row>
    <row r="93" ht="14.25" customHeight="1" s="54">
      <c r="B93" s="4" t="inlineStr">
        <is>
          <t>Year</t>
        </is>
      </c>
      <c r="D93" s="26" t="n">
        <v>0</v>
      </c>
      <c r="E93" s="26" t="n">
        <v>1</v>
      </c>
      <c r="F93" s="26" t="n">
        <v>2</v>
      </c>
      <c r="G93" s="26" t="n">
        <v>3</v>
      </c>
      <c r="H93" s="26" t="n">
        <v>4</v>
      </c>
      <c r="I93" s="26" t="n">
        <v>5</v>
      </c>
      <c r="J93" s="26" t="n">
        <v>6</v>
      </c>
    </row>
    <row r="94" ht="14.25" customHeight="1" s="54">
      <c r="B94" s="10" t="inlineStr">
        <is>
          <t>EBITDA</t>
        </is>
      </c>
      <c r="D94" s="30">
        <f>$C$33</f>
        <v/>
      </c>
      <c r="E94" s="30">
        <f>D94*(1+$D$23)</f>
        <v/>
      </c>
      <c r="F94" s="30">
        <f>E94*(1+$D$24)</f>
        <v/>
      </c>
      <c r="G94" s="30">
        <f>F94*(1+$D$24)</f>
        <v/>
      </c>
      <c r="H94" s="30">
        <f>G94*(1+$D$24)</f>
        <v/>
      </c>
      <c r="I94" s="30">
        <f>H94*(1+$D$24)</f>
        <v/>
      </c>
      <c r="J94" s="30">
        <f>I94*(1+$D$24)</f>
        <v/>
      </c>
      <c r="K94" s="4" t="inlineStr">
        <is>
          <t>Year 0 = your underwriting EBITDA (C33). Then prior year x (1 + growth); Year 1 uses the Year 1 growth input.</t>
        </is>
      </c>
    </row>
    <row r="95" ht="14.25" customHeight="1" s="54">
      <c r="B95" s="10" t="inlineStr">
        <is>
          <t>Capital expenditures</t>
        </is>
      </c>
      <c r="E95" s="30">
        <f>E94*$D$25</f>
        <v/>
      </c>
      <c r="F95" s="30">
        <f>F94*$D$25</f>
        <v/>
      </c>
      <c r="G95" s="30">
        <f>G94*$D$25</f>
        <v/>
      </c>
      <c r="H95" s="30">
        <f>H94*$D$25</f>
        <v/>
      </c>
      <c r="I95" s="30">
        <f>I94*$D$25</f>
        <v/>
      </c>
      <c r="J95" s="30">
        <f>J94*$D$25</f>
        <v/>
      </c>
      <c r="K95" s="4" t="inlineStr">
        <is>
          <t>Capex % x EBITDA.</t>
        </is>
      </c>
    </row>
    <row r="96" ht="14.25" customHeight="1" s="54">
      <c r="B96" s="10" t="inlineStr">
        <is>
          <t>Increase in net working capital</t>
        </is>
      </c>
      <c r="E96" s="30">
        <f>$D$26</f>
        <v/>
      </c>
      <c r="F96" s="30">
        <f>$D$26</f>
        <v/>
      </c>
      <c r="G96" s="30">
        <f>$D$26</f>
        <v/>
      </c>
      <c r="H96" s="30">
        <f>$D$26</f>
        <v/>
      </c>
      <c r="I96" s="30">
        <f>$D$26</f>
        <v/>
      </c>
      <c r="J96" s="30">
        <f>$D$26</f>
        <v/>
      </c>
      <c r="K96" s="4" t="inlineStr">
        <is>
          <t>The increase in NWC input, every year.</t>
        </is>
      </c>
    </row>
    <row r="97" ht="14.25" customHeight="1" s="54">
      <c r="B97" s="10" t="inlineStr">
        <is>
          <t>Seller note PIK interest</t>
        </is>
      </c>
      <c r="E97" s="30">
        <f>D109*$C$45</f>
        <v/>
      </c>
      <c r="F97" s="30">
        <f>E109*$C$45</f>
        <v/>
      </c>
      <c r="G97" s="30">
        <f>F109*$C$45</f>
        <v/>
      </c>
      <c r="H97" s="30">
        <f>G109*$C$45</f>
        <v/>
      </c>
      <c r="I97" s="30">
        <f>H109*$C$45</f>
        <v/>
      </c>
      <c r="J97" s="30">
        <f>I109*$C$45</f>
        <v/>
      </c>
      <c r="K97" s="4" t="inlineStr">
        <is>
          <t>Prior-year seller note closing x PIK rate.</t>
        </is>
      </c>
    </row>
    <row r="98" ht="14.25" customHeight="1" s="54">
      <c r="B98" s="10" t="inlineStr">
        <is>
          <t>Term loan B, opening</t>
        </is>
      </c>
      <c r="E98" s="30">
        <f>D101</f>
        <v/>
      </c>
      <c r="F98" s="30">
        <f>E101</f>
        <v/>
      </c>
      <c r="G98" s="30">
        <f>F101</f>
        <v/>
      </c>
      <c r="H98" s="30">
        <f>G101</f>
        <v/>
      </c>
      <c r="I98" s="30">
        <f>H101</f>
        <v/>
      </c>
      <c r="J98" s="30">
        <f>I101</f>
        <v/>
      </c>
      <c r="K98" s="4" t="inlineStr">
        <is>
          <t>Prior-year closing balance.</t>
        </is>
      </c>
    </row>
    <row r="99" ht="14.25" customHeight="1" s="54">
      <c r="B99" s="10" t="inlineStr">
        <is>
          <t>Mandatory amortization</t>
        </is>
      </c>
      <c r="E99" s="30">
        <f>MIN($C$41*$C$56,E98)</f>
        <v/>
      </c>
      <c r="F99" s="30">
        <f>MIN($C$41*$C$56,F98)</f>
        <v/>
      </c>
      <c r="G99" s="30">
        <f>MIN($C$41*$C$56,G98)</f>
        <v/>
      </c>
      <c r="H99" s="30">
        <f>MIN($C$41*$C$56,H98)</f>
        <v/>
      </c>
      <c r="I99" s="30">
        <f>MIN($C$41*$C$56,I98)</f>
        <v/>
      </c>
      <c r="J99" s="30">
        <f>MIN($C$41*$C$56,J98)</f>
        <v/>
      </c>
      <c r="K99" s="4" t="inlineStr">
        <is>
          <t>Mandatory % x term loan B at close, capped at the opening balance.</t>
        </is>
      </c>
    </row>
    <row r="100" ht="14.25" customHeight="1" s="54">
      <c r="B100" s="10" t="inlineStr">
        <is>
          <t>Optional repayment (cash sweep)</t>
        </is>
      </c>
      <c r="E100" s="30">
        <f>MAX(MIN(D108+E107-$C$37,E98-E99),0)</f>
        <v/>
      </c>
      <c r="F100" s="30">
        <f>MAX(MIN(E108+F107-$C$37,F98-F99),0)</f>
        <v/>
      </c>
      <c r="G100" s="30">
        <f>MAX(MIN(F108+G107-$C$37,G98-G99),0)</f>
        <v/>
      </c>
      <c r="H100" s="30">
        <f>MAX(MIN(G108+H107-$C$37,H98-H99),0)</f>
        <v/>
      </c>
      <c r="I100" s="30">
        <f>MAX(MIN(H108+I107-$C$37,I98-I99),0)</f>
        <v/>
      </c>
      <c r="J100" s="30">
        <f>MAX(MIN(I108+J107-$C$37,J98-J99),0)</f>
        <v/>
      </c>
      <c r="K100" s="4" t="inlineStr">
        <is>
          <t>Prior-year cash + this year's cash available - minimum cash, capped at opening balance - mandatory amortization. Never below zero.</t>
        </is>
      </c>
    </row>
    <row r="101" ht="14.25" customHeight="1" s="54">
      <c r="B101" s="5" t="inlineStr">
        <is>
          <t>Term loan B, closing</t>
        </is>
      </c>
      <c r="D101" s="30">
        <f>$C$56</f>
        <v/>
      </c>
      <c r="E101" s="30">
        <f>E98-E99-E100</f>
        <v/>
      </c>
      <c r="F101" s="30">
        <f>F98-F99-F100</f>
        <v/>
      </c>
      <c r="G101" s="30">
        <f>G98-G99-G100</f>
        <v/>
      </c>
      <c r="H101" s="30">
        <f>H98-H99-H100</f>
        <v/>
      </c>
      <c r="I101" s="30">
        <f>I98-I99-I100</f>
        <v/>
      </c>
      <c r="J101" s="30">
        <f>J98-J99-J100</f>
        <v/>
      </c>
      <c r="K101" s="4" t="inlineStr">
        <is>
          <t>Year 0 = term loan B at close (C56). Then opening - mandatory - optional repayment.</t>
        </is>
      </c>
    </row>
    <row r="102" ht="14.25" customHeight="1" s="54">
      <c r="B102" s="10" t="inlineStr">
        <is>
          <t>Term loan B interest</t>
        </is>
      </c>
      <c r="E102" s="30">
        <f>IFERROR(IF($C$29,AVERAGE(E98,E101),E98)*$C$40,E98*$C$40)</f>
        <v/>
      </c>
      <c r="F102" s="30">
        <f>IFERROR(IF($C$29,AVERAGE(F98,F101),F98)*$C$40,F98*$C$40)</f>
        <v/>
      </c>
      <c r="G102" s="30">
        <f>IFERROR(IF($C$29,AVERAGE(G98,G101),G98)*$C$40,G98*$C$40)</f>
        <v/>
      </c>
      <c r="H102" s="30">
        <f>IFERROR(IF($C$29,AVERAGE(H98,H101),H98)*$C$40,H98*$C$40)</f>
        <v/>
      </c>
      <c r="I102" s="30">
        <f>IFERROR(IF($C$29,AVERAGE(I98,I101),I98)*$C$40,I98*$C$40)</f>
        <v/>
      </c>
      <c r="J102" s="30">
        <f>IFERROR(IF($C$29,AVERAGE(J98,J101),J98)*$C$40,J98*$C$40)</f>
        <v/>
      </c>
      <c r="K102" s="4" t="inlineStr">
        <is>
          <t>Average of opening and closing balance x all-in rate (opening balance when the toggle is 0).</t>
        </is>
      </c>
    </row>
    <row r="103" ht="14.25" customHeight="1" s="54">
      <c r="B103" s="10" t="inlineStr">
        <is>
          <t>Revolver commitment fee</t>
        </is>
      </c>
      <c r="E103" s="30">
        <f>$C$42*$C$43</f>
        <v/>
      </c>
      <c r="F103" s="30">
        <f>$C$42*$C$43</f>
        <v/>
      </c>
      <c r="G103" s="30">
        <f>$C$42*$C$43</f>
        <v/>
      </c>
      <c r="H103" s="30">
        <f>$C$42*$C$43</f>
        <v/>
      </c>
      <c r="I103" s="30">
        <f>$C$42*$C$43</f>
        <v/>
      </c>
      <c r="J103" s="30">
        <f>$C$42*$C$43</f>
        <v/>
      </c>
      <c r="K103" s="4" t="inlineStr">
        <is>
          <t>Revolver commitment x fee (the revolver stays undrawn).</t>
        </is>
      </c>
    </row>
    <row r="104" ht="14.25" customHeight="1" s="54">
      <c r="B104" s="10" t="inlineStr">
        <is>
          <t>Cash interest</t>
        </is>
      </c>
      <c r="E104" s="30">
        <f>E102+E103</f>
        <v/>
      </c>
      <c r="F104" s="30">
        <f>F102+F103</f>
        <v/>
      </c>
      <c r="G104" s="30">
        <f>G102+G103</f>
        <v/>
      </c>
      <c r="H104" s="30">
        <f>H102+H103</f>
        <v/>
      </c>
      <c r="I104" s="30">
        <f>I102+I103</f>
        <v/>
      </c>
      <c r="J104" s="30">
        <f>J102+J103</f>
        <v/>
      </c>
      <c r="K104" s="4" t="inlineStr">
        <is>
          <t>Term loan B interest + commitment fee.</t>
        </is>
      </c>
    </row>
    <row r="105" ht="14.25" customHeight="1" s="54">
      <c r="B105" s="10" t="inlineStr">
        <is>
          <t>Cash taxes</t>
        </is>
      </c>
      <c r="E105" s="30">
        <f>MAX($C$46*(E94-$C$47-E104-E97),0)</f>
        <v/>
      </c>
      <c r="F105" s="30">
        <f>MAX($C$46*(F94-$C$47-F104-F97),0)</f>
        <v/>
      </c>
      <c r="G105" s="30">
        <f>MAX($C$46*(G94-$C$47-G104-G97),0)</f>
        <v/>
      </c>
      <c r="H105" s="30">
        <f>MAX($C$46*(H94-$C$47-H104-H97),0)</f>
        <v/>
      </c>
      <c r="I105" s="30">
        <f>MAX($C$46*(I94-$C$47-I104-I97),0)</f>
        <v/>
      </c>
      <c r="J105" s="30">
        <f>MAX($C$46*(J94-$C$47-J104-J97),0)</f>
        <v/>
      </c>
      <c r="K105" s="4" t="inlineStr">
        <is>
          <t>Tax rate x (EBITDA - D&amp;A - cash interest - seller note PIK interest), not below zero.</t>
        </is>
      </c>
    </row>
    <row r="106" ht="14.25" customHeight="1" s="54">
      <c r="B106" s="5" t="inlineStr">
        <is>
          <t>Levered free cash flow</t>
        </is>
      </c>
      <c r="E106" s="30">
        <f>E94-E104-E105-E95-E96</f>
        <v/>
      </c>
      <c r="F106" s="30">
        <f>F94-F104-F105-F95-F96</f>
        <v/>
      </c>
      <c r="G106" s="30">
        <f>G94-G104-G105-G95-G96</f>
        <v/>
      </c>
      <c r="H106" s="30">
        <f>H94-H104-H105-H95-H96</f>
        <v/>
      </c>
      <c r="I106" s="30">
        <f>I94-I104-I105-I95-I96</f>
        <v/>
      </c>
      <c r="J106" s="30">
        <f>J94-J104-J105-J95-J96</f>
        <v/>
      </c>
      <c r="K106" s="4" t="inlineStr">
        <is>
          <t>EBITDA - cash interest - cash taxes - capex - increase in NWC.</t>
        </is>
      </c>
    </row>
    <row r="107" ht="14.25" customHeight="1" s="54">
      <c r="B107" s="10" t="inlineStr">
        <is>
          <t>Cash available for discretionary repayment</t>
        </is>
      </c>
      <c r="E107" s="30">
        <f>E106-E99</f>
        <v/>
      </c>
      <c r="F107" s="30">
        <f>F106-F99</f>
        <v/>
      </c>
      <c r="G107" s="30">
        <f>G106-G99</f>
        <v/>
      </c>
      <c r="H107" s="30">
        <f>H106-H99</f>
        <v/>
      </c>
      <c r="I107" s="30">
        <f>I106-I99</f>
        <v/>
      </c>
      <c r="J107" s="30">
        <f>J106-J99</f>
        <v/>
      </c>
      <c r="K107" s="4" t="inlineStr">
        <is>
          <t>Levered free cash flow - mandatory amortization.</t>
        </is>
      </c>
    </row>
    <row r="108" ht="14.25" customHeight="1" s="54">
      <c r="B108" s="10" t="inlineStr">
        <is>
          <t>Cash, closing</t>
        </is>
      </c>
      <c r="D108" s="30">
        <f>$C$37</f>
        <v/>
      </c>
      <c r="E108" s="30">
        <f>D108+E107-E100</f>
        <v/>
      </c>
      <c r="F108" s="30">
        <f>E108+F107-F100</f>
        <v/>
      </c>
      <c r="G108" s="30">
        <f>F108+G107-G100</f>
        <v/>
      </c>
      <c r="H108" s="30">
        <f>G108+H107-H100</f>
        <v/>
      </c>
      <c r="I108" s="30">
        <f>H108+I107-I100</f>
        <v/>
      </c>
      <c r="J108" s="30">
        <f>I108+J107-J100</f>
        <v/>
      </c>
      <c r="K108" s="4" t="inlineStr">
        <is>
          <t>Year 0 = minimum cash (C37). Then prior-year cash + cash available - optional repayment.</t>
        </is>
      </c>
    </row>
    <row r="109" ht="14.25" customHeight="1" s="54">
      <c r="B109" s="10" t="inlineStr">
        <is>
          <t>Seller note, closing</t>
        </is>
      </c>
      <c r="D109" s="30">
        <f>$C$57</f>
        <v/>
      </c>
      <c r="E109" s="30">
        <f>D109+E97</f>
        <v/>
      </c>
      <c r="F109" s="30">
        <f>E109+F97</f>
        <v/>
      </c>
      <c r="G109" s="30">
        <f>F109+G97</f>
        <v/>
      </c>
      <c r="H109" s="30">
        <f>G109+H97</f>
        <v/>
      </c>
      <c r="I109" s="30">
        <f>H109+I97</f>
        <v/>
      </c>
      <c r="J109" s="30">
        <f>I109+J97</f>
        <v/>
      </c>
      <c r="K109" s="4" t="inlineStr">
        <is>
          <t>Year 0 = seller note at close (C57). Then prior-year balance + PIK interest.</t>
        </is>
      </c>
    </row>
    <row r="110" ht="14.25" customHeight="1" s="54"/>
    <row r="111" ht="14.25" customHeight="1" s="54">
      <c r="B111" s="10" t="inlineStr">
        <is>
          <t>Exit year</t>
        </is>
      </c>
      <c r="D111" s="39">
        <f>$D28</f>
        <v/>
      </c>
    </row>
    <row r="112" ht="14.25" customHeight="1" s="54">
      <c r="B112" s="10" t="inlineStr">
        <is>
          <t>Exit EBITDA</t>
        </is>
      </c>
      <c r="D112" s="30">
        <f>INDEX($E94:$J94,D111)</f>
        <v/>
      </c>
    </row>
    <row r="113" ht="14.25" customHeight="1" s="54">
      <c r="B113" s="10" t="inlineStr">
        <is>
          <t>Exit enterprise value</t>
        </is>
      </c>
      <c r="D113" s="30">
        <f>D112*$D27</f>
        <v/>
      </c>
    </row>
    <row r="114" ht="14.25" customHeight="1" s="54">
      <c r="B114" s="10" t="inlineStr">
        <is>
          <t>Less: term loan B at exit</t>
        </is>
      </c>
      <c r="D114" s="30">
        <f>INDEX($E101:$J101,D111)</f>
        <v/>
      </c>
    </row>
    <row r="115" ht="14.25" customHeight="1" s="54">
      <c r="B115" s="10" t="inlineStr">
        <is>
          <t>Less: seller note at exit</t>
        </is>
      </c>
      <c r="D115" s="30">
        <f>INDEX($E109:$J109,D111)</f>
        <v/>
      </c>
    </row>
    <row r="116" ht="14.25" customHeight="1" s="54">
      <c r="B116" s="10" t="inlineStr">
        <is>
          <t>Plus: cash at exit</t>
        </is>
      </c>
      <c r="D116" s="30">
        <f>INDEX($E108:$J108,D111)</f>
        <v/>
      </c>
    </row>
    <row r="117" ht="14.25" customHeight="1" s="54">
      <c r="B117" s="5" t="inlineStr">
        <is>
          <t>Exit equity value</t>
        </is>
      </c>
      <c r="D117" s="30">
        <f>D113-D114-D115+D116</f>
        <v/>
      </c>
    </row>
    <row r="118" ht="14.25" customHeight="1" s="54">
      <c r="B118" s="5" t="inlineStr">
        <is>
          <t>MOIC</t>
        </is>
      </c>
      <c r="D118" s="38">
        <f>D117/$C$58</f>
        <v/>
      </c>
    </row>
    <row r="119" ht="14.25" customHeight="1" s="54">
      <c r="B119" s="5" t="inlineStr">
        <is>
          <t>IRR</t>
        </is>
      </c>
      <c r="D119" s="40">
        <f>D118^(1/D111)-1</f>
        <v/>
      </c>
    </row>
    <row r="120" ht="14.25" customHeight="1" s="54"/>
    <row r="121" ht="14.25" customHeight="1" s="54"/>
    <row r="122" ht="14.25" customHeight="1" s="54">
      <c r="A122" s="7" t="n"/>
      <c r="B122" s="7" t="inlineStr">
        <is>
          <t>Data Table: base-case IRR by exit multiple (across) and exit year (down)</t>
        </is>
      </c>
      <c r="C122" s="7" t="n"/>
      <c r="D122" s="7" t="n"/>
      <c r="E122" s="7" t="n"/>
      <c r="F122" s="7" t="n"/>
      <c r="G122" s="7" t="n"/>
      <c r="H122" s="7" t="n"/>
      <c r="I122" s="7" t="n"/>
      <c r="J122" s="7" t="n"/>
    </row>
    <row r="123" ht="14.25" customHeight="1" s="54">
      <c r="B123" s="4" t="inlineStr">
        <is>
          <t>Corner = base-case IRR. Row input cell C27. Column input cell C28.</t>
        </is>
      </c>
      <c r="D123" s="40">
        <f>D90</f>
        <v/>
      </c>
      <c r="E123" s="19" t="n">
        <v>6</v>
      </c>
      <c r="F123" s="19" t="n">
        <v>7</v>
      </c>
      <c r="G123" s="19" t="n">
        <v>8</v>
      </c>
      <c r="H123" s="19" t="n">
        <v>9</v>
      </c>
      <c r="I123" s="19" t="n">
        <v>10</v>
      </c>
    </row>
    <row r="124" ht="14.25" customHeight="1" s="54">
      <c r="D124" s="26" t="n">
        <v>4</v>
      </c>
      <c r="E124" s="40">
        <f t="dataTable" ref="E124:I126" dt2D="1" r1="C27" r2="C28"/>
        <v/>
      </c>
      <c r="F124" s="40" t="n"/>
      <c r="G124" s="40" t="n"/>
      <c r="H124" s="40" t="n"/>
      <c r="I124" s="40" t="n"/>
    </row>
    <row r="125" ht="14.25" customHeight="1" s="54">
      <c r="D125" s="26" t="n">
        <v>5</v>
      </c>
      <c r="E125" s="40" t="n"/>
      <c r="F125" s="40" t="n"/>
      <c r="G125" s="40" t="n"/>
      <c r="H125" s="40" t="n"/>
      <c r="I125" s="40" t="n"/>
    </row>
    <row r="126" ht="14.25" customHeight="1" s="54">
      <c r="D126" s="26" t="n">
        <v>6</v>
      </c>
      <c r="E126" s="40" t="n"/>
      <c r="F126" s="40" t="n"/>
      <c r="G126" s="40" t="n"/>
      <c r="H126" s="40" t="n"/>
      <c r="I126" s="40" t="n"/>
    </row>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ColWidth="14.43" defaultRowHeight="15" customHeight="1" outlineLevelCol="0"/>
  <cols>
    <col width="10" customWidth="1" style="54" min="1" max="1"/>
    <col width="58" customWidth="1" style="54" min="2" max="2"/>
    <col width="16" customWidth="1" style="54" min="3" max="3"/>
    <col width="14" customWidth="1" style="54" min="4" max="4"/>
    <col width="8.710000000000001" customWidth="1" style="54" min="5" max="26"/>
  </cols>
  <sheetData>
    <row r="1" ht="61.5" customHeight="1" s="54">
      <c r="A1" s="1" t="inlineStr">
        <is>
          <t>Work 4. Credit solvency, pro forma at close on LTM (INT-08 to INT-12): items 65-77</t>
        </is>
      </c>
      <c r="B1" s="2" t="n"/>
      <c r="C1" s="2" t="n"/>
      <c r="D1" s="2" t="n"/>
    </row>
    <row r="2" ht="14.25" customHeight="1" s="54">
      <c r="A2" s="4" t="inlineStr">
        <is>
          <t>Use your underwriting EBITDA from Work 2 and the closing debt from Work 3. $ millions.</t>
        </is>
      </c>
    </row>
    <row r="3" ht="14.25" customHeight="1" s="54"/>
    <row r="4" ht="14.25" customHeight="1" s="54">
      <c r="A4" s="7" t="inlineStr">
        <is>
          <t>Item</t>
        </is>
      </c>
      <c r="B4" s="7" t="inlineStr">
        <is>
          <t>Answer</t>
        </is>
      </c>
      <c r="C4" s="7" t="inlineStr">
        <is>
          <t>Value</t>
        </is>
      </c>
      <c r="D4" s="7" t="inlineStr">
        <is>
          <t>Unit</t>
        </is>
      </c>
    </row>
    <row r="5" ht="16.5" customHeight="1" s="54">
      <c r="A5" s="5" t="inlineStr">
        <is>
          <t>Item 65</t>
        </is>
      </c>
      <c r="B5" s="9" t="inlineStr">
        <is>
          <t>Pro forma cash interest</t>
        </is>
      </c>
      <c r="C5" s="27">
        <f>C23*C25+C26*C27</f>
        <v/>
      </c>
      <c r="D5" s="4" t="inlineStr">
        <is>
          <t>$ millions</t>
        </is>
      </c>
    </row>
    <row r="6" ht="16.5" customHeight="1" s="54">
      <c r="A6" s="5" t="inlineStr">
        <is>
          <t>Item 66</t>
        </is>
      </c>
      <c r="B6" s="9" t="inlineStr">
        <is>
          <t>Pro forma cash taxes</t>
        </is>
      </c>
      <c r="C6" s="27">
        <f>MAX(C31*(C22-C30-C5-C24*C28),0)</f>
        <v/>
      </c>
      <c r="D6" s="4" t="inlineStr">
        <is>
          <t>$ millions</t>
        </is>
      </c>
    </row>
    <row r="7" ht="16.5" customHeight="1" s="54">
      <c r="A7" s="5" t="inlineStr">
        <is>
          <t>Item 67</t>
        </is>
      </c>
      <c r="B7" s="9" t="inlineStr">
        <is>
          <t>Increase in net working capital, LTM</t>
        </is>
      </c>
      <c r="C7" s="27">
        <f>('Case Exhibits'!C27+'Case Exhibits'!C28+'Case Exhibits'!C29-'Case Exhibits'!C30-'Case Exhibits'!C31)-('Case Exhibits'!B27+'Case Exhibits'!B28+'Case Exhibits'!B29-'Case Exhibits'!B30-'Case Exhibits'!B31)</f>
        <v/>
      </c>
      <c r="D7" s="4" t="inlineStr">
        <is>
          <t>$ millions</t>
        </is>
      </c>
    </row>
    <row r="8" ht="30" customHeight="1" s="54">
      <c r="A8" s="5" t="inlineStr">
        <is>
          <t>Item 68</t>
        </is>
      </c>
      <c r="B8" s="9" t="inlineStr">
        <is>
          <t>Levered free cash flow: EBITDA - cash interest - cash taxes - capex - increase in NWC</t>
        </is>
      </c>
      <c r="C8" s="27">
        <f>C22-C5-C6-C29-C7</f>
        <v/>
      </c>
      <c r="D8" s="4" t="inlineStr">
        <is>
          <t>$ millions</t>
        </is>
      </c>
    </row>
    <row r="9" ht="16.5" customHeight="1" s="54">
      <c r="A9" s="5" t="inlineStr">
        <is>
          <t>Item 69</t>
        </is>
      </c>
      <c r="B9" s="9" t="inlineStr">
        <is>
          <t>Mandatory amortization</t>
        </is>
      </c>
      <c r="C9" s="27">
        <f>C32*C23</f>
        <v/>
      </c>
      <c r="D9" s="4" t="inlineStr">
        <is>
          <t>$ millions</t>
        </is>
      </c>
    </row>
    <row r="10" ht="16.5" customHeight="1" s="54">
      <c r="A10" s="5" t="inlineStr">
        <is>
          <t>Item 70</t>
        </is>
      </c>
      <c r="B10" s="9" t="inlineStr">
        <is>
          <t>Cash available for discretionary repayment</t>
        </is>
      </c>
      <c r="C10" s="27">
        <f>C8-C9</f>
        <v/>
      </c>
      <c r="D10" s="4" t="inlineStr">
        <is>
          <t>$ millions</t>
        </is>
      </c>
    </row>
    <row r="11" ht="16.5" customHeight="1" s="54">
      <c r="A11" s="5" t="inlineStr">
        <is>
          <t>Item 71</t>
        </is>
      </c>
      <c r="B11" s="9" t="inlineStr">
        <is>
          <t>Total debt (term loan B + seller note) / underwriting EBITDA</t>
        </is>
      </c>
      <c r="C11" s="35">
        <f>(C23+C24)/C22</f>
        <v/>
      </c>
      <c r="D11" s="4" t="inlineStr">
        <is>
          <t>x</t>
        </is>
      </c>
    </row>
    <row r="12" ht="16.5" customHeight="1" s="54">
      <c r="A12" s="5" t="inlineStr">
        <is>
          <t>Item 72</t>
        </is>
      </c>
      <c r="B12" s="9" t="inlineStr">
        <is>
          <t>Interest coverage: EBITDA / cash interest</t>
        </is>
      </c>
      <c r="C12" s="35">
        <f>C22/C5</f>
        <v/>
      </c>
      <c r="D12" s="4" t="inlineStr">
        <is>
          <t>x</t>
        </is>
      </c>
    </row>
    <row r="13" ht="16.5" customHeight="1" s="54">
      <c r="A13" s="5" t="inlineStr">
        <is>
          <t>Item 73</t>
        </is>
      </c>
      <c r="B13" s="9" t="inlineStr">
        <is>
          <t>Cash coverage: (EBITDA - capex) / cash interest</t>
        </is>
      </c>
      <c r="C13" s="35">
        <f>(C22-C29)/C5</f>
        <v/>
      </c>
      <c r="D13" s="4" t="inlineStr">
        <is>
          <t>x</t>
        </is>
      </c>
    </row>
    <row r="14" ht="30" customHeight="1" s="54">
      <c r="A14" s="5" t="inlineStr">
        <is>
          <t>Item 74</t>
        </is>
      </c>
      <c r="B14" s="9" t="inlineStr">
        <is>
          <t>Fixed-charge coverage: (EBITDA - capex - cash taxes) / (cash interest + mandatory amortization)</t>
        </is>
      </c>
      <c r="C14" s="35">
        <f>(C22-C29-C6)/(C5+C9)</f>
        <v/>
      </c>
      <c r="D14" s="4" t="inlineStr">
        <is>
          <t>x</t>
        </is>
      </c>
    </row>
    <row r="15" ht="42.75" customHeight="1" s="54">
      <c r="A15" s="5" t="inlineStr">
        <is>
          <t>Item 75</t>
        </is>
      </c>
      <c r="B15" s="9" t="inlineStr">
        <is>
          <t>EBITDA cushion: % by which underwriting EBITDA can fall before total net leverage (term loan B + seller note - minimum cash) reaches the covenant maximum</t>
        </is>
      </c>
      <c r="C15" s="28">
        <f>(C22-(C23+C24-C33)/C34)/C22</f>
        <v/>
      </c>
      <c r="D15" s="4" t="inlineStr">
        <is>
          <t>%</t>
        </is>
      </c>
    </row>
    <row r="16" ht="16.5" customHeight="1" s="54">
      <c r="A16" s="5" t="inlineStr">
        <is>
          <t>Item 76</t>
        </is>
      </c>
      <c r="B16" s="9" t="inlineStr">
        <is>
          <t>Debt capacity from the lender's downside coverage test</t>
        </is>
      </c>
      <c r="C16" s="27">
        <f>(C22-C22*C35)/C36/C25</f>
        <v/>
      </c>
      <c r="D16" s="4" t="inlineStr">
        <is>
          <t>$ millions</t>
        </is>
      </c>
    </row>
    <row r="17" ht="30" customHeight="1" s="54">
      <c r="A17" s="5" t="inlineStr">
        <is>
          <t>Item 77</t>
        </is>
      </c>
      <c r="B17" s="9" t="inlineStr">
        <is>
          <t>Debt at close (term loan B + seller note) above the governing debt capacity</t>
        </is>
      </c>
      <c r="C17" s="27">
        <f>C23+C24-C41</f>
        <v/>
      </c>
      <c r="D17" s="4" t="inlineStr">
        <is>
          <t>$ millions</t>
        </is>
      </c>
    </row>
    <row r="18" ht="14.25" customHeight="1" s="54"/>
    <row r="19" ht="14.25" customHeight="1" s="54"/>
    <row r="20" ht="14.25" customHeight="1" s="54"/>
    <row r="21" ht="14.25" customHeight="1" s="54">
      <c r="A21" s="7" t="n"/>
      <c r="B21" s="7" t="inlineStr">
        <is>
          <t>Links</t>
        </is>
      </c>
      <c r="C21" s="7" t="inlineStr">
        <is>
          <t>Value</t>
        </is>
      </c>
      <c r="D21" s="7" t="n"/>
    </row>
    <row r="22" ht="14.25" customHeight="1" s="54">
      <c r="B22" s="10" t="inlineStr">
        <is>
          <t>Underwriting EBITDA (Work 2, item 48)</t>
        </is>
      </c>
      <c r="C22" s="29">
        <f>'Work 2'!D13</f>
        <v/>
      </c>
    </row>
    <row r="23" ht="14.25" customHeight="1" s="54">
      <c r="B23" s="10" t="inlineStr">
        <is>
          <t>Term loan B at close (Work 3)</t>
        </is>
      </c>
      <c r="C23" s="29">
        <f>'Work 3'!C56</f>
        <v/>
      </c>
    </row>
    <row r="24" ht="14.25" customHeight="1" s="54">
      <c r="B24" s="10" t="inlineStr">
        <is>
          <t>Seller note at close (Work 3)</t>
        </is>
      </c>
      <c r="C24" s="29">
        <f>'Work 3'!C57</f>
        <v/>
      </c>
    </row>
    <row r="25" ht="14.25" customHeight="1" s="54">
      <c r="B25" s="10" t="inlineStr">
        <is>
          <t>Term loan B all-in rate</t>
        </is>
      </c>
      <c r="C25" s="37">
        <f>'Case Exhibits'!$B$45</f>
        <v/>
      </c>
    </row>
    <row r="26" ht="14.25" customHeight="1" s="54">
      <c r="B26" s="10" t="inlineStr">
        <is>
          <t>Revolver commitment</t>
        </is>
      </c>
      <c r="C26" s="29">
        <f>'Case Exhibits'!$B$47</f>
        <v/>
      </c>
    </row>
    <row r="27" ht="14.25" customHeight="1" s="54">
      <c r="B27" s="10" t="inlineStr">
        <is>
          <t>Commitment fee on undrawn revolver</t>
        </is>
      </c>
      <c r="C27" s="37">
        <f>'Case Exhibits'!$B$48</f>
        <v/>
      </c>
    </row>
    <row r="28" ht="14.25" customHeight="1" s="54">
      <c r="B28" s="10" t="inlineStr">
        <is>
          <t>Seller note PIK rate</t>
        </is>
      </c>
      <c r="C28" s="37">
        <f>'Case Exhibits'!$B$50</f>
        <v/>
      </c>
    </row>
    <row r="29" ht="14.25" customHeight="1" s="54">
      <c r="B29" s="10" t="inlineStr">
        <is>
          <t>LTM capital expenditures</t>
        </is>
      </c>
      <c r="C29" s="29">
        <f>'Case Exhibits'!$B$32</f>
        <v/>
      </c>
    </row>
    <row r="30" ht="14.25" customHeight="1" s="54">
      <c r="B30" s="10" t="inlineStr">
        <is>
          <t>LTM depreciation and amortization</t>
        </is>
      </c>
      <c r="C30" s="29">
        <f>'Case Exhibits'!$B$33</f>
        <v/>
      </c>
    </row>
    <row r="31" ht="14.25" customHeight="1" s="54">
      <c r="B31" s="10" t="inlineStr">
        <is>
          <t>Cash tax rate</t>
        </is>
      </c>
      <c r="C31" s="34">
        <f>'Case Exhibits'!$B$34</f>
        <v/>
      </c>
    </row>
    <row r="32" ht="14.25" customHeight="1" s="54">
      <c r="B32" s="10" t="inlineStr">
        <is>
          <t>Mandatory amortization, % of original</t>
        </is>
      </c>
      <c r="C32" s="34">
        <f>'Case Exhibits'!$B$46</f>
        <v/>
      </c>
    </row>
    <row r="33" ht="14.25" customHeight="1" s="54">
      <c r="B33" s="10" t="inlineStr">
        <is>
          <t>Minimum cash</t>
        </is>
      </c>
      <c r="C33" s="29">
        <f>'Case Exhibits'!$B$40</f>
        <v/>
      </c>
    </row>
    <row r="34" ht="14.25" customHeight="1" s="54">
      <c r="B34" s="10" t="inlineStr">
        <is>
          <t>Covenant: maximum total net leverage</t>
        </is>
      </c>
      <c r="C34" s="36">
        <f>'Case Exhibits'!$B$51</f>
        <v/>
      </c>
    </row>
    <row r="35" ht="14.25" customHeight="1" s="54">
      <c r="B35" s="10" t="inlineStr">
        <is>
          <t>Lender downside test: EBITDA decline</t>
        </is>
      </c>
      <c r="C35" s="34">
        <f>'Case Exhibits'!$B$52</f>
        <v/>
      </c>
    </row>
    <row r="36" ht="14.25" customHeight="1" s="54">
      <c r="B36" s="10" t="inlineStr">
        <is>
          <t>Lender downside test: minimum EBITDA / interest (debt x all-in rate)</t>
        </is>
      </c>
      <c r="C36" s="36">
        <f>'Case Exhibits'!$B$53</f>
        <v/>
      </c>
    </row>
    <row r="37" ht="14.25" customHeight="1" s="54"/>
    <row r="38" ht="14.25" customHeight="1" s="54">
      <c r="A38" s="7" t="n"/>
      <c r="B38" s="7" t="inlineStr">
        <is>
          <t>Debt capacity</t>
        </is>
      </c>
      <c r="C38" s="7" t="inlineStr">
        <is>
          <t>Value</t>
        </is>
      </c>
      <c r="D38" s="7" t="n"/>
    </row>
    <row r="39" ht="14.25" customHeight="1" s="54">
      <c r="B39" s="10" t="inlineStr">
        <is>
          <t>Comparable transactions: median total debt / EBITDA</t>
        </is>
      </c>
      <c r="C39" s="38">
        <f>MEDIAN('Case Exhibits'!C59:C64)</f>
        <v/>
      </c>
    </row>
    <row r="40" ht="14.25" customHeight="1" s="54">
      <c r="B40" s="10" t="inlineStr">
        <is>
          <t>Market debt capacity</t>
        </is>
      </c>
      <c r="C40" s="30">
        <f>C39*C22</f>
        <v/>
      </c>
    </row>
    <row r="41" ht="14.25" customHeight="1" s="54">
      <c r="B41" s="10" t="inlineStr">
        <is>
          <t>Governing debt capacity: the lower of market capacity and item 76</t>
        </is>
      </c>
      <c r="C41" s="30">
        <f>MIN(C40,C16)</f>
        <v/>
      </c>
    </row>
    <row r="42" ht="14.25" customHeight="1" s="54"/>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ColWidth="14.43" defaultRowHeight="15" customHeight="1" outlineLevelCol="0"/>
  <cols>
    <col width="10" customWidth="1" style="54" min="1" max="1"/>
    <col width="58" customWidth="1" style="54" min="2" max="2"/>
    <col width="16" customWidth="1" style="54" min="3" max="3"/>
    <col width="14" customWidth="1" style="54" min="4" max="4"/>
    <col width="8.710000000000001" customWidth="1" style="54" min="5" max="26"/>
  </cols>
  <sheetData>
    <row r="1" ht="61.5" customHeight="1" s="54">
      <c r="A1" s="1" t="inlineStr">
        <is>
          <t>Work 5. Recovery waterfall, Kestrel Bakeries (INT-11): items 78-81</t>
        </is>
      </c>
      <c r="B1" s="2" t="n"/>
      <c r="C1" s="2" t="n"/>
      <c r="D1" s="2" t="n"/>
    </row>
    <row r="2" ht="14.25" customHeight="1" s="54">
      <c r="A2" s="4" t="inlineStr">
        <is>
          <t>A different borrower, in a restructuring. $ millions.</t>
        </is>
      </c>
    </row>
    <row r="3" ht="14.25" customHeight="1" s="54"/>
    <row r="4" ht="14.25" customHeight="1" s="54">
      <c r="A4" s="7" t="inlineStr">
        <is>
          <t>Item</t>
        </is>
      </c>
      <c r="B4" s="7" t="inlineStr">
        <is>
          <t>Answer</t>
        </is>
      </c>
      <c r="C4" s="7" t="inlineStr">
        <is>
          <t>Value</t>
        </is>
      </c>
      <c r="D4" s="7" t="inlineStr">
        <is>
          <t>Unit</t>
        </is>
      </c>
    </row>
    <row r="5" ht="16.5" customHeight="1" s="54">
      <c r="A5" s="5" t="inlineStr">
        <is>
          <t>Item 78</t>
        </is>
      </c>
      <c r="B5" s="9" t="inlineStr">
        <is>
          <t>First lien: recovery from collateral</t>
        </is>
      </c>
      <c r="C5" s="27">
        <f>MIN(C14,MAX(C12-C13,0))</f>
        <v/>
      </c>
      <c r="D5" s="4" t="inlineStr">
        <is>
          <t>$ millions</t>
        </is>
      </c>
    </row>
    <row r="6" ht="16.5" customHeight="1" s="54">
      <c r="A6" s="5" t="inlineStr">
        <is>
          <t>Item 79</t>
        </is>
      </c>
      <c r="B6" s="9" t="inlineStr">
        <is>
          <t>First lien: deficiency claim</t>
        </is>
      </c>
      <c r="C6" s="27">
        <f>C14-C5</f>
        <v/>
      </c>
      <c r="D6" s="4" t="inlineStr">
        <is>
          <t>$ millions</t>
        </is>
      </c>
    </row>
    <row r="7" ht="16.5" customHeight="1" s="54">
      <c r="A7" s="5" t="inlineStr">
        <is>
          <t>Item 80</t>
        </is>
      </c>
      <c r="B7" s="9" t="inlineStr">
        <is>
          <t>Unsecured pool: recovery rate</t>
        </is>
      </c>
      <c r="C7" s="28">
        <f>(C11-C12)/C22</f>
        <v/>
      </c>
      <c r="D7" s="4" t="inlineStr">
        <is>
          <t>%</t>
        </is>
      </c>
    </row>
    <row r="8" ht="16.5" customHeight="1" s="54">
      <c r="A8" s="5" t="inlineStr">
        <is>
          <t>Item 81</t>
        </is>
      </c>
      <c r="B8" s="9" t="inlineStr">
        <is>
          <t>First lien: total recovery rate</t>
        </is>
      </c>
      <c r="C8" s="28">
        <f>(C5+C6*C7)/C14</f>
        <v/>
      </c>
      <c r="D8" s="4" t="inlineStr">
        <is>
          <t>%</t>
        </is>
      </c>
    </row>
    <row r="9" ht="14.25" customHeight="1" s="54"/>
    <row r="10" ht="14.25" customHeight="1" s="54">
      <c r="A10" s="7" t="n"/>
      <c r="B10" s="7" t="inlineStr">
        <is>
          <t>Inputs</t>
        </is>
      </c>
      <c r="C10" s="7" t="inlineStr">
        <is>
          <t>Value</t>
        </is>
      </c>
      <c r="D10" s="7" t="n"/>
    </row>
    <row r="11" ht="14.25" customHeight="1" s="54">
      <c r="B11" s="10" t="inlineStr">
        <is>
          <t>Value available for distribution</t>
        </is>
      </c>
      <c r="C11" s="12" t="n">
        <v>47</v>
      </c>
    </row>
    <row r="12" ht="14.25" customHeight="1" s="54">
      <c r="B12" s="10" t="inlineStr">
        <is>
          <t>Collateral value</t>
        </is>
      </c>
      <c r="C12" s="12" t="n">
        <v>26</v>
      </c>
    </row>
    <row r="13" ht="14.25" customHeight="1" s="54">
      <c r="B13" s="10" t="inlineStr">
        <is>
          <t>Revolver claim (paid first from collateral)</t>
        </is>
      </c>
      <c r="C13" s="12" t="n">
        <v>6</v>
      </c>
    </row>
    <row r="14" ht="14.25" customHeight="1" s="54">
      <c r="B14" s="10" t="inlineStr">
        <is>
          <t>First lien claim</t>
        </is>
      </c>
      <c r="C14" s="12" t="n">
        <v>28</v>
      </c>
    </row>
    <row r="15" ht="14.25" customHeight="1" s="54">
      <c r="B15" s="10" t="inlineStr">
        <is>
          <t>Second lien claim (same collateral, junior to the first lien)</t>
        </is>
      </c>
      <c r="C15" s="12" t="n">
        <v>15</v>
      </c>
    </row>
    <row r="16" ht="14.25" customHeight="1" s="54">
      <c r="B16" s="10" t="inlineStr">
        <is>
          <t>Unsecured claims</t>
        </is>
      </c>
      <c r="C16" s="12" t="n">
        <v>9</v>
      </c>
    </row>
    <row r="17" ht="42.75" customHeight="1" s="54">
      <c r="B17" s="41" t="inlineStr">
        <is>
          <t>Collateral pays the revolver, then the first lien, then the second lien. Value above the collateral goes pro rata to all unsecured claims, including deficiency claims.</t>
        </is>
      </c>
    </row>
    <row r="18" ht="14.25" customHeight="1" s="54"/>
    <row r="19" ht="14.25" customHeight="1" s="54">
      <c r="A19" s="7" t="n"/>
      <c r="B19" s="7" t="inlineStr">
        <is>
          <t>Work area</t>
        </is>
      </c>
      <c r="C19" s="7" t="inlineStr">
        <is>
          <t>Value</t>
        </is>
      </c>
      <c r="D19" s="7" t="n"/>
    </row>
    <row r="20" ht="14.25" customHeight="1" s="54">
      <c r="B20" s="10" t="inlineStr">
        <is>
          <t>Second lien: recovery from collateral</t>
        </is>
      </c>
      <c r="C20" s="42">
        <f>MIN(C15,MAX(C12-C13-C5,0))</f>
        <v/>
      </c>
    </row>
    <row r="21" ht="14.25" customHeight="1" s="54">
      <c r="B21" s="10" t="inlineStr">
        <is>
          <t>Second lien: deficiency claim</t>
        </is>
      </c>
      <c r="C21" s="42">
        <f>C15-C20</f>
        <v/>
      </c>
    </row>
    <row r="22" ht="14.25" customHeight="1" s="54">
      <c r="B22" s="10" t="inlineStr">
        <is>
          <t>Unsecured pool: total claims</t>
        </is>
      </c>
      <c r="C22" s="42">
        <f>C16+C6+C21</f>
        <v/>
      </c>
    </row>
    <row r="23" ht="14.25" customHeight="1" s="54"/>
    <row r="24" ht="14.25" customHeight="1" s="54"/>
    <row r="25" ht="14.25" customHeight="1" s="54"/>
    <row r="26" ht="14.25" customHeight="1" s="54"/>
    <row r="27" ht="14.25" customHeight="1" s="54"/>
    <row r="28" ht="14.25" customHeight="1" s="54"/>
    <row r="29" ht="14.25" customHeight="1" s="54"/>
    <row r="30" ht="14.25" customHeight="1" s="54"/>
    <row r="31" ht="14.25" customHeight="1" s="54"/>
    <row r="32" ht="14.25" customHeight="1" s="54"/>
    <row r="33" ht="14.25" customHeight="1" s="54"/>
    <row r="34" ht="14.25" customHeight="1" s="54"/>
    <row r="35" ht="14.25" customHeight="1" s="54"/>
    <row r="36" ht="14.25" customHeight="1" s="54"/>
    <row r="37" ht="14.25" customHeight="1" s="54"/>
    <row r="38" ht="14.25" customHeight="1" s="54"/>
    <row r="39" ht="14.25" customHeight="1" s="54"/>
    <row r="40" ht="14.25" customHeight="1" s="54"/>
    <row r="41" ht="14.25" customHeight="1" s="54"/>
    <row r="42" ht="14.25" customHeight="1" s="54"/>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ColWidth="14.43" defaultRowHeight="15" customHeight="1" outlineLevelCol="0"/>
  <cols>
    <col width="10" customWidth="1" style="54" min="1" max="1"/>
    <col width="58" customWidth="1" style="54" min="2" max="2"/>
    <col width="16" customWidth="1" style="54" min="3" max="3"/>
    <col width="14" customWidth="1" style="54" min="4" max="4"/>
    <col width="8.710000000000001" customWidth="1" style="54" min="5" max="26"/>
  </cols>
  <sheetData>
    <row r="1" ht="61.5" customHeight="1" s="54">
      <c r="A1" s="1" t="inlineStr">
        <is>
          <t>Work 6. Real estate and cross-asset comparison (INT-16, INT-17): items 82-87</t>
        </is>
      </c>
      <c r="B1" s="2" t="n"/>
      <c r="C1" s="2" t="n"/>
      <c r="D1" s="2" t="n"/>
    </row>
    <row r="2" ht="14.25" customHeight="1" s="54">
      <c r="A2" s="4" t="inlineStr">
        <is>
          <t>Alder Court Apartments: whole dollars. Private credit: rates.</t>
        </is>
      </c>
    </row>
    <row r="3" ht="14.25" customHeight="1" s="54"/>
    <row r="4" ht="14.25" customHeight="1" s="54">
      <c r="A4" s="7" t="inlineStr">
        <is>
          <t>Item</t>
        </is>
      </c>
      <c r="B4" s="7" t="inlineStr">
        <is>
          <t>Answer</t>
        </is>
      </c>
      <c r="C4" s="7" t="inlineStr">
        <is>
          <t>Value</t>
        </is>
      </c>
      <c r="D4" s="7" t="inlineStr">
        <is>
          <t>Unit</t>
        </is>
      </c>
    </row>
    <row r="5" ht="16.5" customHeight="1" s="54">
      <c r="A5" s="5" t="inlineStr">
        <is>
          <t>Item 82</t>
        </is>
      </c>
      <c r="B5" s="9" t="inlineStr">
        <is>
          <t>Effective gross revenue</t>
        </is>
      </c>
      <c r="C5" s="43">
        <f>C46-C46*C15+C16</f>
        <v/>
      </c>
      <c r="D5" s="4" t="inlineStr">
        <is>
          <t>$</t>
        </is>
      </c>
    </row>
    <row r="6" ht="16.5" customHeight="1" s="54">
      <c r="A6" s="5" t="inlineStr">
        <is>
          <t>Item 83</t>
        </is>
      </c>
      <c r="B6" s="9" t="inlineStr">
        <is>
          <t>Net operating income</t>
        </is>
      </c>
      <c r="C6" s="43">
        <f>C5-C48</f>
        <v/>
      </c>
      <c r="D6" s="4" t="inlineStr">
        <is>
          <t>$</t>
        </is>
      </c>
    </row>
    <row r="7" ht="16.5" customHeight="1" s="54">
      <c r="A7" s="5" t="inlineStr">
        <is>
          <t>Item 84</t>
        </is>
      </c>
      <c r="B7" s="9" t="inlineStr">
        <is>
          <t>Debt service coverage ratio</t>
        </is>
      </c>
      <c r="C7" s="35">
        <f>C6/C49</f>
        <v/>
      </c>
      <c r="D7" s="4" t="inlineStr">
        <is>
          <t>x</t>
        </is>
      </c>
    </row>
    <row r="8" ht="30" customHeight="1" s="54">
      <c r="A8" s="5" t="inlineStr">
        <is>
          <t>Item 85</t>
        </is>
      </c>
      <c r="B8" s="9" t="inlineStr">
        <is>
          <t>Cash-on-cash return: (NOI - annual debt service) / equity invested</t>
        </is>
      </c>
      <c r="C8" s="28">
        <f>(C6-C49)/C50</f>
        <v/>
      </c>
      <c r="D8" s="4" t="inlineStr">
        <is>
          <t>%</t>
        </is>
      </c>
    </row>
    <row r="9" ht="16.5" customHeight="1" s="54">
      <c r="A9" s="5" t="inlineStr">
        <is>
          <t>Item 86</t>
        </is>
      </c>
      <c r="B9" s="9" t="inlineStr">
        <is>
          <t>Private credit all-in yield</t>
        </is>
      </c>
      <c r="C9" s="44">
        <f>C33+C34+C35/C36</f>
        <v/>
      </c>
      <c r="D9" s="4" t="inlineStr">
        <is>
          <t>%</t>
        </is>
      </c>
    </row>
    <row r="10" ht="30" customHeight="1" s="54">
      <c r="A10" s="5" t="inlineStr">
        <is>
          <t>Item 87</t>
        </is>
      </c>
      <c r="B10" s="9" t="inlineStr">
        <is>
          <t>Which seats clear their own hurdle? (PE = the buyout, PC = the unitranche loan, RE = the property)</t>
        </is>
      </c>
      <c r="C10" s="31" t="inlineStr">
        <is>
          <t>PC only</t>
        </is>
      </c>
      <c r="D10" s="4" t="inlineStr">
        <is>
          <t>choose</t>
        </is>
      </c>
    </row>
    <row r="11" ht="14.25" customHeight="1" s="54"/>
    <row r="12" ht="14.25" customHeight="1" s="54">
      <c r="A12" s="7" t="n"/>
      <c r="B12" s="7" t="inlineStr">
        <is>
          <t>Alder Court Apartments: operating statement inputs</t>
        </is>
      </c>
      <c r="C12" s="7" t="inlineStr">
        <is>
          <t>Value</t>
        </is>
      </c>
      <c r="D12" s="7" t="n"/>
    </row>
    <row r="13" ht="14.25" customHeight="1" s="54">
      <c r="B13" s="10" t="inlineStr">
        <is>
          <t>Units</t>
        </is>
      </c>
      <c r="C13" s="26" t="n">
        <v>40</v>
      </c>
    </row>
    <row r="14" ht="14.25" customHeight="1" s="54">
      <c r="B14" s="10" t="inlineStr">
        <is>
          <t>Market rent per unit per month</t>
        </is>
      </c>
      <c r="C14" s="45" t="n">
        <v>1725</v>
      </c>
    </row>
    <row r="15" ht="14.25" customHeight="1" s="54">
      <c r="B15" s="10" t="inlineStr">
        <is>
          <t>Vacancy and credit loss, % of potential gross revenue (rent only; add other income after vacancy)</t>
        </is>
      </c>
      <c r="C15" s="13" t="n">
        <v>0.06</v>
      </c>
    </row>
    <row r="16" ht="14.25" customHeight="1" s="54">
      <c r="B16" s="10" t="inlineStr">
        <is>
          <t>Other income (parking, laundry), per year</t>
        </is>
      </c>
      <c r="C16" s="45" t="n">
        <v>24000</v>
      </c>
    </row>
    <row r="17" ht="14.25" customHeight="1" s="54">
      <c r="B17" s="10" t="inlineStr">
        <is>
          <t>Operating expense: Real estate taxes</t>
        </is>
      </c>
      <c r="C17" s="45" t="n">
        <v>96000</v>
      </c>
    </row>
    <row r="18" ht="14.25" customHeight="1" s="54">
      <c r="B18" s="10" t="inlineStr">
        <is>
          <t>Operating expense: Insurance</t>
        </is>
      </c>
      <c r="C18" s="45" t="n">
        <v>38000</v>
      </c>
    </row>
    <row r="19" ht="14.25" customHeight="1" s="54">
      <c r="B19" s="10" t="inlineStr">
        <is>
          <t>Operating expense: Recurring repairs and maintenance</t>
        </is>
      </c>
      <c r="C19" s="45" t="n">
        <v>52000</v>
      </c>
    </row>
    <row r="20" ht="14.25" customHeight="1" s="54">
      <c r="B20" s="10" t="inlineStr">
        <is>
          <t>Operating expense: Utilities</t>
        </is>
      </c>
      <c r="C20" s="45" t="n">
        <v>41000</v>
      </c>
    </row>
    <row r="21" ht="14.25" customHeight="1" s="54">
      <c r="B21" s="10" t="inlineStr">
        <is>
          <t>Operating expense: On-site payroll</t>
        </is>
      </c>
      <c r="C21" s="45" t="n">
        <v>64000</v>
      </c>
    </row>
    <row r="22" ht="14.25" customHeight="1" s="54">
      <c r="B22" s="10" t="inlineStr">
        <is>
          <t>Property management fee, % of effective gross revenue</t>
        </is>
      </c>
      <c r="C22" s="13" t="n">
        <v>0.04</v>
      </c>
    </row>
    <row r="23" ht="14.25" customHeight="1" s="54">
      <c r="B23" s="10" t="inlineStr">
        <is>
          <t>Seller's operating statement, last year: Roof replacement (one-time)</t>
        </is>
      </c>
      <c r="C23" s="45" t="n">
        <v>85000</v>
      </c>
    </row>
    <row r="24" ht="14.25" customHeight="1" s="54">
      <c r="B24" s="10" t="inlineStr">
        <is>
          <t>Seller's operating statement, last year: Unit renovation capital expenditures</t>
        </is>
      </c>
      <c r="C24" s="45" t="n">
        <v>120000</v>
      </c>
    </row>
    <row r="25" ht="14.25" customHeight="1" s="54">
      <c r="B25" s="10" t="inlineStr">
        <is>
          <t>Purchase price</t>
        </is>
      </c>
      <c r="C25" s="45" t="n">
        <v>7600000</v>
      </c>
    </row>
    <row r="26" ht="14.25" customHeight="1" s="54">
      <c r="B26" s="10" t="inlineStr">
        <is>
          <t>Closing costs, % of price</t>
        </is>
      </c>
      <c r="C26" s="13" t="n">
        <v>0.02</v>
      </c>
    </row>
    <row r="27" ht="14.25" customHeight="1" s="54">
      <c r="B27" s="10" t="inlineStr">
        <is>
          <t>Loan amount</t>
        </is>
      </c>
      <c r="C27" s="45" t="n">
        <v>5200000</v>
      </c>
    </row>
    <row r="28" ht="14.25" customHeight="1" s="54">
      <c r="B28" s="10" t="inlineStr">
        <is>
          <t>Loan interest rate</t>
        </is>
      </c>
      <c r="C28" s="17" t="n">
        <v>0.0625</v>
      </c>
    </row>
    <row r="29" ht="14.25" customHeight="1" s="54">
      <c r="B29" s="10" t="inlineStr">
        <is>
          <t>Amortization, years (monthly payments)</t>
        </is>
      </c>
      <c r="C29" s="26" t="n">
        <v>30</v>
      </c>
    </row>
    <row r="30" ht="14.25" customHeight="1" s="54">
      <c r="B30" s="10" t="inlineStr">
        <is>
          <t>Months per year</t>
        </is>
      </c>
      <c r="C30" s="26" t="n">
        <v>12</v>
      </c>
    </row>
    <row r="31" ht="14.25" customHeight="1" s="54"/>
    <row r="32" ht="14.25" customHeight="1" s="54">
      <c r="A32" s="7" t="n"/>
      <c r="B32" s="7" t="inlineStr">
        <is>
          <t>Private credit: Unitranche loan to a software distributor</t>
        </is>
      </c>
      <c r="C32" s="7" t="inlineStr">
        <is>
          <t>Value</t>
        </is>
      </c>
      <c r="D32" s="7" t="n"/>
    </row>
    <row r="33" ht="14.25" customHeight="1" s="54">
      <c r="B33" s="10" t="inlineStr">
        <is>
          <t>SOFR</t>
        </is>
      </c>
      <c r="C33" s="17" t="n">
        <v>0.0425</v>
      </c>
    </row>
    <row r="34" ht="14.25" customHeight="1" s="54">
      <c r="B34" s="10" t="inlineStr">
        <is>
          <t>Spread</t>
        </is>
      </c>
      <c r="C34" s="17" t="n">
        <v>0.055</v>
      </c>
    </row>
    <row r="35" ht="14.25" customHeight="1" s="54">
      <c r="B35" s="10" t="inlineStr">
        <is>
          <t>Original issue discount (OID), % of par</t>
        </is>
      </c>
      <c r="C35" s="17" t="n">
        <v>0.02</v>
      </c>
    </row>
    <row r="36" ht="14.25" customHeight="1" s="54">
      <c r="B36" s="10" t="inlineStr">
        <is>
          <t>Expected life, years</t>
        </is>
      </c>
      <c r="C36" s="26" t="n">
        <v>4</v>
      </c>
    </row>
    <row r="37" ht="14.25" customHeight="1" s="54">
      <c r="B37" s="4" t="inlineStr">
        <is>
          <t>All-in yield = SOFR + spread + OID / expected life.</t>
        </is>
      </c>
    </row>
    <row r="38" ht="14.25" customHeight="1" s="54"/>
    <row r="39" ht="14.25" customHeight="1" s="54">
      <c r="A39" s="7" t="n"/>
      <c r="B39" s="7" t="inlineStr">
        <is>
          <t>Hurdles and the buyout</t>
        </is>
      </c>
      <c r="C39" s="7" t="inlineStr">
        <is>
          <t>Value</t>
        </is>
      </c>
      <c r="D39" s="7" t="n"/>
    </row>
    <row r="40" ht="14.25" customHeight="1" s="54">
      <c r="B40" s="10" t="inlineStr">
        <is>
          <t>Private equity hurdle: IRR</t>
        </is>
      </c>
      <c r="C40" s="13" t="n">
        <v>0.2</v>
      </c>
    </row>
    <row r="41" ht="14.25" customHeight="1" s="54">
      <c r="B41" s="10" t="inlineStr">
        <is>
          <t>Private credit hurdle: all-in yield</t>
        </is>
      </c>
      <c r="C41" s="13" t="n">
        <v>0.095</v>
      </c>
    </row>
    <row r="42" ht="14.25" customHeight="1" s="54">
      <c r="B42" s="10" t="inlineStr">
        <is>
          <t>Real estate hurdle: cash-on-cash return</t>
        </is>
      </c>
      <c r="C42" s="13" t="n">
        <v>0.06</v>
      </c>
    </row>
    <row r="43" ht="14.25" customHeight="1" s="54">
      <c r="B43" s="10" t="inlineStr">
        <is>
          <t>Project Bramble base-case IRR (Work 3, item 61)</t>
        </is>
      </c>
      <c r="C43" s="34">
        <f>'Work 3'!D90</f>
        <v/>
      </c>
    </row>
    <row r="44" ht="14.25" customHeight="1" s="54"/>
    <row r="45" ht="14.25" customHeight="1" s="54">
      <c r="A45" s="7" t="n"/>
      <c r="B45" s="7" t="inlineStr">
        <is>
          <t>Work area</t>
        </is>
      </c>
      <c r="C45" s="7" t="inlineStr">
        <is>
          <t>Value</t>
        </is>
      </c>
      <c r="D45" s="7" t="n"/>
    </row>
    <row r="46" ht="14.25" customHeight="1" s="54">
      <c r="B46" s="10" t="inlineStr">
        <is>
          <t>Potential gross revenue (rent at full occupancy)</t>
        </is>
      </c>
      <c r="C46" s="46">
        <f>C13*C14*C30</f>
        <v/>
      </c>
    </row>
    <row r="47" ht="14.25" customHeight="1" s="54">
      <c r="B47" s="10" t="inlineStr">
        <is>
          <t>Property management fee</t>
        </is>
      </c>
      <c r="C47" s="46">
        <f>C22*C5</f>
        <v/>
      </c>
    </row>
    <row r="48" ht="14.25" customHeight="1" s="54">
      <c r="B48" s="10" t="inlineStr">
        <is>
          <t>Total operating expenses</t>
        </is>
      </c>
      <c r="C48" s="46">
        <f>C17+C18+C19+C20+C21+C47</f>
        <v/>
      </c>
    </row>
    <row r="49" ht="14.25" customHeight="1" s="54">
      <c r="B49" s="10" t="inlineStr">
        <is>
          <t>Annual debt service</t>
        </is>
      </c>
      <c r="C49" s="46">
        <f>-PMT(C28/C30,C29*C30,C27)*C30</f>
        <v/>
      </c>
    </row>
    <row r="50" ht="14.25" customHeight="1" s="54">
      <c r="B50" s="10" t="inlineStr">
        <is>
          <t>Equity invested (price + closing costs - loan)</t>
        </is>
      </c>
      <c r="C50" s="46">
        <f>C25+C26*C25-C27</f>
        <v/>
      </c>
    </row>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dataValidations count="1">
    <dataValidation sqref="C10" showDropDown="0" showInputMessage="1" showErrorMessage="1" allowBlank="1" prompt="Cross-asset - Choose from the list." type="list">
      <formula1>"None,PE only,PC only,RE only,PE and PC,PE and RE,PC and RE,All three"</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ColWidth="14.43" defaultRowHeight="15" customHeight="1" outlineLevelCol="0"/>
  <cols>
    <col width="8" customWidth="1" style="54" min="1" max="1"/>
    <col width="56" customWidth="1" style="54" min="2" max="2"/>
    <col width="14" customWidth="1" style="54" min="3" max="3"/>
    <col width="24" customWidth="1" style="54" min="4" max="4"/>
    <col width="70" customWidth="1" style="54" min="5" max="5"/>
    <col width="8.710000000000001" customWidth="1" style="54" min="6" max="26"/>
  </cols>
  <sheetData>
    <row r="1" ht="61.5" customHeight="1" s="54">
      <c r="A1" s="1" t="inlineStr">
        <is>
          <t>Work 7. Self-audit of a prior analyst's Model Output page (INT-21): items 88-99</t>
        </is>
      </c>
      <c r="B1" s="2" t="n"/>
      <c r="C1" s="2" t="n"/>
      <c r="D1" s="2" t="n"/>
      <c r="E1" s="2" t="n"/>
    </row>
    <row r="2" ht="14.25" customHeight="1" s="54">
      <c r="A2" s="4" t="inlineStr">
        <is>
          <t>This is another analyst's draft at the first-round bid, with its own figures; do not compare it with your Work tabs. Click each value to read its formula. Judge each line on its own formula and value; a line that only inherits another line's error is OK. Choose a finding for every line. Write a fix for every line you do not mark OK.</t>
        </is>
      </c>
    </row>
    <row r="3" ht="14.25" customHeight="1" s="54"/>
    <row r="4" ht="14.25" customHeight="1" s="54">
      <c r="A4" s="7" t="n"/>
      <c r="B4" s="7" t="inlineStr">
        <is>
          <t>Page inputs: prior analyst's draft, first-round bid</t>
        </is>
      </c>
      <c r="C4" s="7" t="inlineStr">
        <is>
          <t>Value</t>
        </is>
      </c>
      <c r="D4" s="7" t="n"/>
      <c r="E4" s="7" t="n"/>
    </row>
    <row r="5" ht="14.25" customHeight="1" s="54">
      <c r="B5" s="10" t="inlineStr">
        <is>
          <t>Management Adjusted EBITDA</t>
        </is>
      </c>
      <c r="C5" s="15" t="n">
        <v>10.85</v>
      </c>
    </row>
    <row r="6" ht="14.25" customHeight="1" s="54">
      <c r="B6" s="10" t="inlineStr">
        <is>
          <t>First-round bid multiple</t>
        </is>
      </c>
      <c r="C6" s="19" t="n">
        <v>7.4</v>
      </c>
    </row>
    <row r="7" ht="14.25" customHeight="1" s="54">
      <c r="B7" s="10" t="inlineStr">
        <is>
          <t>Total fees</t>
        </is>
      </c>
      <c r="C7" s="15" t="n">
        <v>2.8</v>
      </c>
    </row>
    <row r="8" ht="14.25" customHeight="1" s="54">
      <c r="B8" s="10" t="inlineStr">
        <is>
          <t>Minimum cash</t>
        </is>
      </c>
      <c r="C8" s="15" t="n">
        <v>2</v>
      </c>
    </row>
    <row r="9" ht="14.25" customHeight="1" s="54">
      <c r="B9" s="10" t="inlineStr">
        <is>
          <t>Term loan B</t>
        </is>
      </c>
      <c r="C9" s="15" t="n">
        <v>45</v>
      </c>
    </row>
    <row r="10" ht="14.25" customHeight="1" s="54">
      <c r="B10" s="10" t="inlineStr">
        <is>
          <t>Seller note</t>
        </is>
      </c>
      <c r="C10" s="15" t="n">
        <v>4</v>
      </c>
    </row>
    <row r="11" ht="14.25" customHeight="1" s="54">
      <c r="B11" s="10" t="inlineStr">
        <is>
          <t>Sponsor equity</t>
        </is>
      </c>
      <c r="C11" s="15" t="n">
        <v>34.59</v>
      </c>
    </row>
    <row r="12" ht="14.25" customHeight="1" s="54">
      <c r="B12" s="10" t="inlineStr">
        <is>
          <t>Fair value of net identifiable assets</t>
        </is>
      </c>
      <c r="C12" s="15" t="n">
        <v>24</v>
      </c>
    </row>
    <row r="13" ht="14.25" customHeight="1" s="54">
      <c r="B13" s="10" t="inlineStr">
        <is>
          <t>Reported EBITDA, LTM</t>
        </is>
      </c>
      <c r="C13" s="15" t="n">
        <v>7.6</v>
      </c>
    </row>
    <row r="14" ht="14.25" customHeight="1" s="54">
      <c r="B14" s="10" t="inlineStr">
        <is>
          <t>Add-backs accepted</t>
        </is>
      </c>
      <c r="C14" s="15" t="n">
        <v>1.95</v>
      </c>
    </row>
    <row r="15" ht="14.25" customHeight="1" s="54">
      <c r="B15" s="10" t="inlineStr">
        <is>
          <t>Lost-customer deduction</t>
        </is>
      </c>
      <c r="C15" s="15" t="n">
        <v>-1.4</v>
      </c>
    </row>
    <row r="16" ht="14.25" customHeight="1" s="54">
      <c r="B16" s="10" t="inlineStr">
        <is>
          <t>Year 1 EBITDA</t>
        </is>
      </c>
      <c r="C16" s="15" t="n">
        <v>8.5</v>
      </c>
    </row>
    <row r="17" ht="14.25" customHeight="1" s="54">
      <c r="B17" s="10" t="inlineStr">
        <is>
          <t>Term loan B all-in rate</t>
        </is>
      </c>
      <c r="C17" s="17" t="n">
        <v>0.09</v>
      </c>
    </row>
    <row r="18" ht="14.25" customHeight="1" s="54">
      <c r="B18" s="10" t="inlineStr">
        <is>
          <t>Revolver commitment fee</t>
        </is>
      </c>
      <c r="C18" s="15" t="n">
        <v>0.04</v>
      </c>
    </row>
    <row r="19" ht="14.25" customHeight="1" s="54">
      <c r="B19" s="10" t="inlineStr">
        <is>
          <t>Year 1 D&amp;A</t>
        </is>
      </c>
      <c r="C19" s="15" t="n">
        <v>1.8</v>
      </c>
    </row>
    <row r="20" ht="14.25" customHeight="1" s="54">
      <c r="B20" s="10" t="inlineStr">
        <is>
          <t>Year 1 seller note PIK interest</t>
        </is>
      </c>
      <c r="C20" s="15" t="n">
        <v>0.32</v>
      </c>
    </row>
    <row r="21" ht="14.25" customHeight="1" s="54">
      <c r="B21" s="10" t="inlineStr">
        <is>
          <t>Year 1 taxable income (tax schedule)</t>
        </is>
      </c>
      <c r="C21" s="47">
        <f>C16-C19-C9*C17-C18-C20</f>
        <v/>
      </c>
    </row>
    <row r="22" ht="14.25" customHeight="1" s="54">
      <c r="B22" s="10" t="inlineStr">
        <is>
          <t>Cash tax rate</t>
        </is>
      </c>
      <c r="C22" s="13" t="n">
        <v>0.25</v>
      </c>
    </row>
    <row r="23" ht="14.25" customHeight="1" s="54">
      <c r="B23" s="10" t="inlineStr">
        <is>
          <t>Year 1 capital expenditures</t>
        </is>
      </c>
      <c r="C23" s="15" t="n">
        <v>2.55</v>
      </c>
    </row>
    <row r="24" ht="14.25" customHeight="1" s="54">
      <c r="B24" s="10" t="inlineStr">
        <is>
          <t>Year 1 increase in net working capital</t>
        </is>
      </c>
      <c r="C24" s="15" t="n">
        <v>0.3</v>
      </c>
    </row>
    <row r="25" ht="14.25" customHeight="1" s="54">
      <c r="B25" s="10" t="inlineStr">
        <is>
          <t>Base-case MOIC (scenario run)</t>
        </is>
      </c>
      <c r="C25" s="16" t="n">
        <v>1.94</v>
      </c>
    </row>
    <row r="26" ht="14.25" customHeight="1" s="54">
      <c r="B26" s="10" t="inlineStr">
        <is>
          <t>Holding period, years</t>
        </is>
      </c>
      <c r="C26" s="26" t="n">
        <v>5</v>
      </c>
    </row>
    <row r="27" ht="14.25" customHeight="1" s="54">
      <c r="B27" s="10" t="inlineStr">
        <is>
          <t>Base-case IRR (scenario run)</t>
        </is>
      </c>
      <c r="C27" s="13" t="n">
        <v>0.142</v>
      </c>
    </row>
    <row r="28" ht="14.25" customHeight="1" s="54">
      <c r="B28" s="10" t="inlineStr">
        <is>
          <t>Downside IRR (scenario run)</t>
        </is>
      </c>
      <c r="C28" s="13" t="n">
        <v>0.131</v>
      </c>
    </row>
    <row r="29" ht="14.25" customHeight="1" s="54">
      <c r="B29" s="10" t="inlineStr">
        <is>
          <t>Exit multiple</t>
        </is>
      </c>
      <c r="C29" s="19" t="n">
        <v>9.5</v>
      </c>
    </row>
    <row r="30" ht="14.25" customHeight="1" s="54">
      <c r="B30" s="10" t="inlineStr">
        <is>
          <t>Mandatory amortization, % of original</t>
        </is>
      </c>
      <c r="C30" s="13" t="n">
        <v>0.01</v>
      </c>
    </row>
    <row r="31" ht="14.25" customHeight="1" s="54"/>
    <row r="32" ht="14.25" customHeight="1" s="54">
      <c r="A32" s="7" t="n"/>
      <c r="B32" s="7" t="inlineStr">
        <is>
          <t>Backup: EBITDA bridge</t>
        </is>
      </c>
      <c r="C32" s="7" t="inlineStr">
        <is>
          <t>Value</t>
        </is>
      </c>
      <c r="D32" s="7" t="n"/>
      <c r="E32" s="7" t="n"/>
    </row>
    <row r="33" ht="14.25" customHeight="1" s="54">
      <c r="B33" s="10" t="inlineStr">
        <is>
          <t>Reported EBITDA</t>
        </is>
      </c>
      <c r="C33" s="47">
        <f>C13</f>
        <v/>
      </c>
    </row>
    <row r="34" ht="14.25" customHeight="1" s="54">
      <c r="B34" s="10" t="inlineStr">
        <is>
          <t>Add-backs accepted</t>
        </is>
      </c>
      <c r="C34" s="47">
        <f>C14</f>
        <v/>
      </c>
    </row>
    <row r="35" ht="14.25" customHeight="1" s="54">
      <c r="B35" s="10" t="inlineStr">
        <is>
          <t>Lost-customer deduction</t>
        </is>
      </c>
      <c r="C35" s="47">
        <f>C15</f>
        <v/>
      </c>
    </row>
    <row r="36" ht="14.25" customHeight="1" s="54">
      <c r="B36" s="5" t="inlineStr">
        <is>
          <t>Underwriting EBITDA per bridge</t>
        </is>
      </c>
      <c r="C36" s="48">
        <f>SUM(C33:C35)</f>
        <v/>
      </c>
    </row>
    <row r="37" ht="14.25" customHeight="1" s="54"/>
    <row r="38" ht="14.25" customHeight="1" s="54">
      <c r="A38" s="7" t="n"/>
      <c r="B38" s="7" t="inlineStr">
        <is>
          <t>Context (not scored)</t>
        </is>
      </c>
      <c r="C38" s="7" t="inlineStr">
        <is>
          <t>Value</t>
        </is>
      </c>
      <c r="D38" s="7" t="n"/>
      <c r="E38" s="7" t="n"/>
    </row>
    <row r="39" ht="14.25" customHeight="1" s="54">
      <c r="B39" s="10" t="inlineStr">
        <is>
          <t>Purchase enterprise value</t>
        </is>
      </c>
      <c r="C39" s="47">
        <f>C6*C5</f>
        <v/>
      </c>
    </row>
    <row r="40" ht="14.25" customHeight="1" s="54">
      <c r="B40" s="10" t="inlineStr">
        <is>
          <t>Total uses</t>
        </is>
      </c>
      <c r="C40" s="47">
        <f>C39+C7+C8</f>
        <v/>
      </c>
    </row>
    <row r="41" ht="14.25" customHeight="1" s="54">
      <c r="B41" s="10" t="inlineStr">
        <is>
          <t>Entry multiple (first-round bid)</t>
        </is>
      </c>
      <c r="C41" s="49">
        <f>C6</f>
        <v/>
      </c>
    </row>
    <row r="42" ht="14.25" customHeight="1" s="54"/>
    <row r="43" ht="14.25" customHeight="1" s="54">
      <c r="A43" s="7" t="inlineStr">
        <is>
          <t>Line</t>
        </is>
      </c>
      <c r="B43" s="7" t="inlineStr">
        <is>
          <t>Model Output page</t>
        </is>
      </c>
      <c r="C43" s="7" t="inlineStr">
        <is>
          <t>Value</t>
        </is>
      </c>
      <c r="D43" s="7" t="inlineStr">
        <is>
          <t>Finding</t>
        </is>
      </c>
      <c r="E43" s="7" t="inlineStr">
        <is>
          <t>Fix</t>
        </is>
      </c>
    </row>
    <row r="44" ht="42" customHeight="1" s="54">
      <c r="A44" s="5" t="inlineStr">
        <is>
          <t>L1</t>
        </is>
      </c>
      <c r="B44" s="9" t="inlineStr">
        <is>
          <t>Total leverage at close (total debt / underwriting EBITDA)</t>
        </is>
      </c>
      <c r="C44" s="50">
        <f>(C9+C10)/C36</f>
        <v/>
      </c>
      <c r="D44" s="51" t="inlineStr">
        <is>
          <t>OK</t>
        </is>
      </c>
      <c r="E44" s="6" t="n"/>
    </row>
    <row r="45" ht="42" customHeight="1" s="54">
      <c r="A45" s="5" t="inlineStr">
        <is>
          <t>L2</t>
        </is>
      </c>
      <c r="B45" s="9" t="inlineStr">
        <is>
          <t>Total sources vs total uses (compare with total uses)</t>
        </is>
      </c>
      <c r="C45" s="47">
        <f>C9+C10+C11</f>
        <v/>
      </c>
      <c r="D45" s="51" t="inlineStr">
        <is>
          <t>Does not foot</t>
        </is>
      </c>
      <c r="E45" s="6" t="inlineStr">
        <is>
          <t>Sources are 83.59 against total uses of 85.09 (C40), a 1.50 gap; re-plug sponsor equity to 36.09 so sources equal uses.</t>
        </is>
      </c>
    </row>
    <row r="46" ht="42" customHeight="1" s="54">
      <c r="A46" s="5" t="inlineStr">
        <is>
          <t>L3</t>
        </is>
      </c>
      <c r="B46" s="9" t="inlineStr">
        <is>
          <t>Underwriting EBITDA on the summary line (compare with the backup)</t>
        </is>
      </c>
      <c r="C46" s="47">
        <f>C13+C14</f>
        <v/>
      </c>
      <c r="D46" s="51" t="inlineStr">
        <is>
          <t>Mismatch with backup</t>
        </is>
      </c>
      <c r="E46" s="6" t="inlineStr">
        <is>
          <t>Summary shows 9.55 (=C13+C14) but the backup bridge gives 8.15; link to C36 so the 1.40 lost-customer deduction is included.</t>
        </is>
      </c>
    </row>
    <row r="47" ht="42" customHeight="1" s="54">
      <c r="A47" s="5" t="inlineStr">
        <is>
          <t>L4</t>
        </is>
      </c>
      <c r="B47" s="9" t="inlineStr">
        <is>
          <t>Goodwill created at close</t>
        </is>
      </c>
      <c r="C47" s="47">
        <f>C39-C12</f>
        <v/>
      </c>
      <c r="D47" s="51" t="inlineStr">
        <is>
          <t>OK</t>
        </is>
      </c>
      <c r="E47" s="6" t="n"/>
    </row>
    <row r="48" ht="42" customHeight="1" s="54">
      <c r="A48" s="5" t="inlineStr">
        <is>
          <t>L5</t>
        </is>
      </c>
      <c r="B48" s="9" t="inlineStr">
        <is>
          <t>Year 1 cash interest</t>
        </is>
      </c>
      <c r="C48" s="47">
        <f>C9*C17+0.35</f>
        <v/>
      </c>
      <c r="D48" s="51" t="inlineStr">
        <is>
          <t>Hardcode in formula</t>
        </is>
      </c>
      <c r="E48" s="6" t="inlineStr">
        <is>
          <t>Replace the typed 0.35 with the revolver commitment x commitment fee from an input cell; add a revolver commitment input and reference it.</t>
        </is>
      </c>
    </row>
    <row r="49" ht="42" customHeight="1" s="54">
      <c r="A49" s="5" t="inlineStr">
        <is>
          <t>L6</t>
        </is>
      </c>
      <c r="B49" s="9" t="inlineStr">
        <is>
          <t>Year 1 mandatory amortization</t>
        </is>
      </c>
      <c r="C49" s="47">
        <f>C9*0.01</f>
        <v/>
      </c>
      <c r="D49" s="51" t="inlineStr">
        <is>
          <t>Hardcode in formula</t>
        </is>
      </c>
      <c r="E49" s="6" t="inlineStr">
        <is>
          <t>Replace the typed 0.01 with the mandatory amortization input in C30: =C9*C30.</t>
        </is>
      </c>
    </row>
    <row r="50" ht="42" customHeight="1" s="54">
      <c r="A50" s="5" t="inlineStr">
        <is>
          <t>L7</t>
        </is>
      </c>
      <c r="B50" s="9" t="inlineStr">
        <is>
          <t>Year 1 levered free cash flow</t>
        </is>
      </c>
      <c r="C50" s="47">
        <f>C16-C48-C51-C23+C24</f>
        <v/>
      </c>
      <c r="D50" s="51" t="inlineStr">
        <is>
          <t>Sign error</t>
        </is>
      </c>
      <c r="E50" s="6" t="inlineStr">
        <is>
          <t>The increase in NWC (C24) is added; it is a use of cash and must be subtracted: =C16-C48-C51-C23-C24.</t>
        </is>
      </c>
    </row>
    <row r="51" ht="42" customHeight="1" s="54">
      <c r="A51" s="5" t="inlineStr">
        <is>
          <t>L8</t>
        </is>
      </c>
      <c r="B51" s="9" t="inlineStr">
        <is>
          <t>Year 1 cash taxes</t>
        </is>
      </c>
      <c r="C51" s="47">
        <f>C22*C21</f>
        <v/>
      </c>
      <c r="D51" s="51" t="inlineStr">
        <is>
          <t>OK</t>
        </is>
      </c>
      <c r="E51" s="6" t="n"/>
    </row>
    <row r="52" ht="42" customHeight="1" s="54">
      <c r="A52" s="5" t="inlineStr">
        <is>
          <t>L9</t>
        </is>
      </c>
      <c r="B52" s="9" t="inlineStr">
        <is>
          <t>Downside IRR vs base IRR (compare with the base-case IRR input)</t>
        </is>
      </c>
      <c r="C52" s="52">
        <f>C28</f>
        <v/>
      </c>
      <c r="D52" s="51" t="inlineStr">
        <is>
          <t>Cosmetic stress</t>
        </is>
      </c>
      <c r="E52" s="6" t="inlineStr">
        <is>
          <t>Downside IRR of 13.1% is only 1.1 points below the 14.2% base, so the downside barely stresses anything; cut growth and exit multiple and rerun.</t>
        </is>
      </c>
    </row>
    <row r="53" ht="42" customHeight="1" s="54">
      <c r="A53" s="5" t="inlineStr">
        <is>
          <t>L10</t>
        </is>
      </c>
      <c r="B53" s="9" t="inlineStr">
        <is>
          <t>Base-case IRR implied by the five-year MOIC</t>
        </is>
      </c>
      <c r="C53" s="52">
        <f>C25^(1/C26)-1</f>
        <v/>
      </c>
      <c r="D53" s="51" t="inlineStr">
        <is>
          <t>OK</t>
        </is>
      </c>
      <c r="E53" s="6" t="n"/>
    </row>
    <row r="54" ht="42" customHeight="1" s="54">
      <c r="A54" s="5" t="inlineStr">
        <is>
          <t>L11</t>
        </is>
      </c>
      <c r="B54" s="9" t="inlineStr">
        <is>
          <t>Exit multiple (compare with the entry multiple)</t>
        </is>
      </c>
      <c r="C54" s="49">
        <f>C29</f>
        <v/>
      </c>
      <c r="D54" s="51" t="inlineStr">
        <is>
          <t>Unsupported assumption</t>
        </is>
      </c>
      <c r="E54" s="6" t="inlineStr">
        <is>
          <t>Exit at 9.5x vs entry at 7.4x assumes 2.1x of multiple expansion with no support; set exit at or below the entry multiple.</t>
        </is>
      </c>
    </row>
    <row r="55" ht="42" customHeight="1" s="54">
      <c r="A55" s="5" t="inlineStr">
        <is>
          <t>L12</t>
        </is>
      </c>
      <c r="B55" s="9" t="inlineStr">
        <is>
          <t>Year 1 fixed-charge coverage</t>
        </is>
      </c>
      <c r="C55" s="50">
        <f>(C16-C23-C51)/(C48+C49)</f>
        <v/>
      </c>
      <c r="D55" s="51" t="inlineStr">
        <is>
          <t>OK</t>
        </is>
      </c>
      <c r="E55" s="6" t="n"/>
    </row>
    <row r="56" ht="14.25" customHeight="1" s="54"/>
    <row r="57" ht="14.25" customHeight="1" s="54">
      <c r="B57" s="4" t="inlineStr">
        <is>
          <t>Findings: OK, Hardcode in formula, Sign error, Does not foot, Mismatch with backup, Cosmetic stress, Unsupported assumption.</t>
        </is>
      </c>
    </row>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dataValidations count="1">
    <dataValidation sqref="D44:D55" showDropDown="0" showInputMessage="1" showErrorMessage="1" allowBlank="1" prompt="Finding - Choose from the list." type="list">
      <formula1>"OK,Hardcode in formula,Sign error,Does not foot,Mismatch with backup,Cosmetic stress,Unsupported assumption"</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ColWidth="14.43" defaultRowHeight="15" customHeight="1" outlineLevelCol="0"/>
  <cols>
    <col width="8" customWidth="1" style="54" min="1" max="1"/>
    <col width="46" customWidth="1" style="54" min="2" max="2"/>
    <col width="90" customWidth="1" style="54" min="3" max="3"/>
    <col width="8.710000000000001" customWidth="1" style="54" min="4" max="26"/>
  </cols>
  <sheetData>
    <row r="1" ht="61.5" customHeight="1" s="54">
      <c r="A1" s="1" t="inlineStr">
        <is>
          <t>Synthesis: your view on Project Bramble (INT-06, INT-13, INT-18 to INT-20)</t>
        </is>
      </c>
      <c r="B1" s="2" t="n"/>
      <c r="C1" s="2" t="n"/>
    </row>
    <row r="2" ht="14.25" customHeight="1" s="54">
      <c r="A2" s="4" t="inlineStr">
        <is>
          <t>Two to four sentences per prompt. Cite figures from your Work tabs. 2 points each.</t>
        </is>
      </c>
    </row>
    <row r="3" ht="14.25" customHeight="1" s="54"/>
    <row r="4" ht="14.25" customHeight="1" s="54">
      <c r="A4" s="7" t="n"/>
      <c r="B4" s="7" t="inlineStr">
        <is>
          <t>Prompt</t>
        </is>
      </c>
      <c r="C4" s="7" t="inlineStr">
        <is>
          <t>Your answer</t>
        </is>
      </c>
    </row>
    <row r="5" ht="109.5" customHeight="1" s="54">
      <c r="A5" s="5" t="inlineStr">
        <is>
          <t>S1</t>
        </is>
      </c>
      <c r="B5" s="9" t="inlineStr">
        <is>
          <t>Recommendation on the deal as bid. Choose Proceed, Pass, or Proceed with conditions, then give two sentences of reasons.</t>
        </is>
      </c>
      <c r="C5" s="6" t="inlineStr">
        <is>
          <t>Pass at the bid as structured (the alternative is to re-bid lower). The 6.75x bid on management's 10.85 EBITDA is 9.71x my underwriting EBITDA of 7.54, and the base case returns only an 11.4% IRR and 1.72x MOIC (Work 3), well under the 20% hurdle. Total debt of 5.52x also sits above debt capacity, so the structure does not work at this price.</t>
        </is>
      </c>
    </row>
    <row r="6" ht="109.5" customHeight="1" s="54">
      <c r="A6" s="5" t="inlineStr">
        <is>
          <t>S2</t>
        </is>
      </c>
      <c r="B6" s="9" t="inlineStr">
        <is>
          <t>Name the single largest solvency risk. Cite one figure from Work 1, Work 2 or Work 4.</t>
        </is>
      </c>
      <c r="C6" s="6" t="inlineStr">
        <is>
          <t>The largest solvency risk is too much debt on a lower real EBITDA: debt at close is 41.6 (5.52x underwriting EBITDA), which is 8.8 above the governing debt capacity of 32.8 (Work 4, item 77). Fixed-charge coverage is only 1.23x and cash available for discretionary repayment is just 0.33 after mandatory amortization, so there is almost no cushion if EBITDA slips or Crestline (1.61 of LTM gross profit) is lost.</t>
        </is>
      </c>
    </row>
    <row r="7" ht="109.5" customHeight="1" s="54">
      <c r="A7" s="5" t="inlineStr">
        <is>
          <t>S3</t>
        </is>
      </c>
      <c r="B7" s="9" t="inlineStr">
        <is>
          <t>Give the strongest protection against that risk and explain why it would still hold if the risk happens.</t>
        </is>
      </c>
      <c r="C7" s="6" t="inlineStr">
        <is>
          <t>The strongest protection is to cut debt at close to the governing capacity (about 32.8) and replace the difference with sponsor equity or a price cut. This still holds if the risk happens because lower fixed charges do not depend on EBITDA, and the lender's downside test (EBITDA down 20%, coverage at least 2.0x) is met by design rather than by a forecast. A contracted replacement for Crestline would add support but is not yet agreed.</t>
        </is>
      </c>
    </row>
    <row r="8" ht="109.5" customHeight="1" s="54">
      <c r="A8" s="5" t="inlineStr">
        <is>
          <t>S4</t>
        </is>
      </c>
      <c r="B8" s="9" t="inlineStr">
        <is>
          <t>Justify or reject the entry price against the comparable transactions. Cite the multiple on your underwriting EBITDA.</t>
        </is>
      </c>
      <c r="C8" s="6" t="inlineStr">
        <is>
          <t>I reject the entry price. At 6.75x management EBITDA the purchase enterprise value is 73.2, or 9.71x my underwriting EBITDA of 7.54, against a comparable median of 8.3x EV/EBITDA (range 7.6x to 9.3x), so we pay above even the top comp, Northbeam at 9.3x. A price of about 8.3x on 7.54 would be about 62.6, roughly 10.6 lower.</t>
        </is>
      </c>
    </row>
    <row r="9" ht="109.5" customHeight="1" s="54">
      <c r="A9" s="5" t="inlineStr">
        <is>
          <t>S5</t>
        </is>
      </c>
      <c r="B9" s="9" t="inlineStr">
        <is>
          <t>Say what the downside case changed in your recommendation. Cite the downside MOIC or IRR.</t>
        </is>
      </c>
      <c r="C9" s="6" t="inlineStr">
        <is>
          <t>The downside case (growth of -5% in Year 1, 7.0x exit, Year 6) returns 0.85x MOIC and a -2.7% IRR (Work 3), so equity loses money, whereas the base case already misses the hurdle at 11.4%. This moved my view from a possible re-price to a firm Pass at this price and leverage. I would only re-engage with lower debt, a lower price, and a signed replacement for Crestline.</t>
        </is>
      </c>
    </row>
    <row r="10" ht="14.25" customHeight="1" s="54"/>
    <row r="11" ht="14.25" customHeight="1" s="54">
      <c r="B11" s="4" t="inlineStr">
        <is>
          <t>Scoring: each answer names the driver, cites a correct figure from your workbook, and states what it means for the deal or the credit.</t>
        </is>
      </c>
    </row>
    <row r="12" ht="14.25" customHeight="1" s="54"/>
    <row r="13" ht="14.25" customHeight="1" s="54"/>
    <row r="14" ht="14.25" customHeight="1" s="54"/>
    <row r="15" ht="14.25" customHeight="1" s="54"/>
    <row r="16" ht="14.25" customHeight="1" s="54"/>
    <row r="17" ht="14.25" customHeight="1" s="54"/>
    <row r="18" ht="14.25" customHeight="1" s="54"/>
    <row r="19" ht="14.25" customHeight="1" s="54"/>
    <row r="20" ht="14.25" customHeight="1" s="54"/>
    <row r="21" ht="14.25" customHeight="1" s="54"/>
    <row r="22" ht="14.25" customHeight="1" s="54"/>
    <row r="23" ht="14.25" customHeight="1" s="54"/>
    <row r="24" ht="14.25" customHeight="1" s="54"/>
    <row r="25" ht="14.25" customHeight="1" s="54"/>
    <row r="26" ht="14.25" customHeight="1" s="54"/>
    <row r="27" ht="14.25" customHeight="1" s="54"/>
    <row r="28" ht="14.25" customHeight="1" s="54"/>
    <row r="29" ht="14.25" customHeight="1" s="54"/>
    <row r="30" ht="14.25" customHeight="1" s="54"/>
    <row r="31" ht="14.25" customHeight="1" s="54"/>
    <row r="32" ht="14.25" customHeight="1" s="54"/>
    <row r="33" ht="14.25" customHeight="1" s="54"/>
    <row r="34" ht="14.25" customHeight="1" s="54"/>
    <row r="35" ht="14.25" customHeight="1" s="54"/>
    <row r="36" ht="14.25" customHeight="1" s="54"/>
    <row r="37" ht="14.25" customHeight="1" s="54"/>
    <row r="38" ht="14.25" customHeight="1" s="54"/>
    <row r="39" ht="14.25" customHeight="1" s="54"/>
    <row r="40" ht="14.25" customHeight="1" s="54"/>
    <row r="41" ht="14.25" customHeight="1" s="54"/>
    <row r="42" ht="14.25" customHeight="1" s="54"/>
    <row r="43" ht="14.25" customHeight="1" s="54"/>
    <row r="44" ht="14.25" customHeight="1" s="54"/>
    <row r="45" ht="14.25" customHeight="1" s="54"/>
    <row r="46" ht="14.25" customHeight="1" s="54"/>
    <row r="47" ht="14.25" customHeight="1" s="54"/>
    <row r="48" ht="14.25" customHeight="1" s="54"/>
    <row r="49" ht="14.25" customHeight="1" s="54"/>
    <row r="50" ht="14.25" customHeight="1" s="54"/>
    <row r="51" ht="14.25" customHeight="1" s="54"/>
    <row r="52" ht="14.25" customHeight="1" s="54"/>
    <row r="53" ht="14.25" customHeight="1" s="54"/>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ColWidth="14.43" defaultRowHeight="15" customHeight="1" outlineLevelCol="0"/>
  <cols>
    <col width="6" customWidth="1" style="54" min="1" max="1"/>
    <col width="90" customWidth="1" style="54" min="2" max="2"/>
    <col width="12" customWidth="1" style="54" min="3" max="3"/>
    <col width="8.710000000000001" customWidth="1" style="54" min="4" max="6"/>
    <col hidden="1" width="13" customWidth="1" style="54" min="7" max="9"/>
    <col width="8.710000000000001" customWidth="1" style="54" min="10" max="26"/>
  </cols>
  <sheetData>
    <row r="1" ht="61.5" customHeight="1" s="54">
      <c r="A1" s="1" t="inlineStr">
        <is>
          <t>Self-Check: run this before you save</t>
        </is>
      </c>
      <c r="B1" s="2" t="n"/>
      <c r="C1" s="2" t="n"/>
    </row>
    <row r="2" ht="14.25" customHeight="1" s="54">
      <c r="A2" s="4" t="inlineStr">
        <is>
          <t>Every line must read OK. A line that reads CHECK names what to fix.</t>
        </is>
      </c>
    </row>
    <row r="3" ht="14.25" customHeight="1" s="54"/>
    <row r="4" ht="14.25" customHeight="1" s="54">
      <c r="A4" s="7" t="n"/>
      <c r="B4" s="7" t="inlineStr">
        <is>
          <t>Check</t>
        </is>
      </c>
      <c r="C4" s="7" t="inlineStr">
        <is>
          <t>Status</t>
        </is>
      </c>
    </row>
    <row r="5" ht="16.5" customHeight="1" s="54">
      <c r="A5" s="4" t="n">
        <v>1</v>
      </c>
      <c r="B5" s="9" t="inlineStr">
        <is>
          <t>Your name and cohort are filled in on Read Me.</t>
        </is>
      </c>
      <c r="C5" s="53">
        <f>IF(AND(FELLOW_NAME&lt;&gt;"",FELLOW_COHORT&lt;&gt;""),"OK","CHECK")</f>
        <v/>
      </c>
      <c r="G5" s="3" t="inlineStr">
        <is>
          <t>Work 1!C11</t>
        </is>
      </c>
      <c r="H5" s="3">
        <f>--NOT(ISNA(FORMULATEXT('Work 1'!C11)))</f>
        <v/>
      </c>
      <c r="I5" s="3">
        <f>IFERROR(SUMPRODUCT((CODE(MID(SUBSTITUTE(SUBSTITUTE(FORMULATEXT('Work 1'!C11),"$",""),"Work ","Work"),ROW($Z$1:$Z$700),1)&amp;" ")&gt;47)*(CODE(MID(SUBSTITUTE(SUBSTITUTE(FORMULATEXT('Work 1'!C11),"$",""),"Work ","Work"),ROW($Z$1:$Z$700),1)&amp;" ")&lt;58)*(1-(CODE(MID(" "&amp;SUBSTITUTE(SUBSTITUTE(FORMULATEXT('Work 1'!C11),"$",""),"Work ","Work"),ROW($Z$1:$Z$700),1)&amp;" ")&gt;47)*(CODE(MID(" "&amp;SUBSTITUTE(SUBSTITUTE(FORMULATEXT('Work 1'!C11),"$",""),"Work ","Work"),ROW($Z$1:$Z$700),1)&amp;" ")&lt;58))*EXACT(UPPER(MID(" "&amp;SUBSTITUTE(SUBSTITUTE(FORMULATEXT('Work 1'!C11),"$",""),"Work ","Work"),ROW($Z$1:$Z$700),1)),LOWER(MID(" "&amp;SUBSTITUTE(SUBSTITUTE(FORMULATEXT('Work 1'!C11),"$",""),"Work ","Work"),ROW($Z$1:$Z$700),1)))*(MID(" "&amp;SUBSTITUTE(SUBSTITUTE(FORMULATEXT('Work 1'!C11),"$",""),"Work ","Work"),ROW($Z$1:$Z$700),1)&lt;&gt;".")*(1-(CODE(MID(SUBSTITUTE(SUBSTITUTE(FORMULATEXT('Work 1'!C11),"$",""),"Work ","Work"),ROW($Z$1:$Z$700),1)&amp;" ")&gt;47)*(CODE(MID(SUBSTITUTE(SUBSTITUTE(FORMULATEXT('Work 1'!C11),"$",""),"Work ","Work"),ROW($Z$1:$Z$700),1)&amp;" ")&lt;51)*(1-(CODE(MID(SUBSTITUTE(SUBSTITUTE(FORMULATEXT('Work 1'!C11),"$",""),"Work ","Work")&amp;" ",ROW($Z$1:$Z$700)+1,1)&amp;" ")&gt;47)*(CODE(MID(SUBSTITUTE(SUBSTITUTE(FORMULATEXT('Work 1'!C11),"$",""),"Work ","Work")&amp;" ",ROW($Z$1:$Z$700)+1,1)&amp;" ")&lt;58))*(MID(SUBSTITUTE(SUBSTITUTE(FORMULATEXT('Work 1'!C11),"$",""),"Work ","Work")&amp;" ",ROW($Z$1:$Z$700)+1,1)&lt;&gt;"."))*(1-(MID(SUBSTITUTE(SUBSTITUTE(FORMULATEXT('Work 1'!C11),"$",""),"Work ","Work"),ROW($Z$1:$Z$700),4)="1000")*(1-(CODE(MID(SUBSTITUTE(SUBSTITUTE(FORMULATEXT('Work 1'!C11),"$",""),"Work ","Work")&amp;"     ",ROW($Z$1:$Z$700)+4,1)&amp;" ")&gt;47)*(CODE(MID(SUBSTITUTE(SUBSTITUTE(FORMULATEXT('Work 1'!C11),"$",""),"Work ","Work")&amp;"     ",ROW($Z$1:$Z$700)+4,1)&amp;" ")&lt;58))*(MID(SUBSTITUTE(SUBSTITUTE(FORMULATEXT('Work 1'!C11),"$",""),"Work ","Work")&amp;"     ",ROW($Z$1:$Z$700)+4,1)&lt;&gt;"."))),0)</f>
        <v/>
      </c>
    </row>
    <row r="6" ht="16.5" customHeight="1" s="54">
      <c r="A6" s="4" t="n">
        <v>2</v>
      </c>
      <c r="B6" s="9" t="inlineStr">
        <is>
          <t>Part A: all 20 items answered.</t>
        </is>
      </c>
      <c r="C6" s="53">
        <f>IF(COUNTA('Part A'!C5:C24)=20,"OK","CHECK")</f>
        <v/>
      </c>
      <c r="G6" s="3" t="inlineStr">
        <is>
          <t>Work 1!C12</t>
        </is>
      </c>
      <c r="H6" s="3">
        <f>--NOT(ISNA(FORMULATEXT('Work 1'!C12)))</f>
        <v/>
      </c>
      <c r="I6" s="3">
        <f>IFERROR(SUMPRODUCT((CODE(MID(SUBSTITUTE(SUBSTITUTE(FORMULATEXT('Work 1'!C12),"$",""),"Work ","Work"),ROW($Z$1:$Z$700),1)&amp;" ")&gt;47)*(CODE(MID(SUBSTITUTE(SUBSTITUTE(FORMULATEXT('Work 1'!C12),"$",""),"Work ","Work"),ROW($Z$1:$Z$700),1)&amp;" ")&lt;58)*(1-(CODE(MID(" "&amp;SUBSTITUTE(SUBSTITUTE(FORMULATEXT('Work 1'!C12),"$",""),"Work ","Work"),ROW($Z$1:$Z$700),1)&amp;" ")&gt;47)*(CODE(MID(" "&amp;SUBSTITUTE(SUBSTITUTE(FORMULATEXT('Work 1'!C12),"$",""),"Work ","Work"),ROW($Z$1:$Z$700),1)&amp;" ")&lt;58))*EXACT(UPPER(MID(" "&amp;SUBSTITUTE(SUBSTITUTE(FORMULATEXT('Work 1'!C12),"$",""),"Work ","Work"),ROW($Z$1:$Z$700),1)),LOWER(MID(" "&amp;SUBSTITUTE(SUBSTITUTE(FORMULATEXT('Work 1'!C12),"$",""),"Work ","Work"),ROW($Z$1:$Z$700),1)))*(MID(" "&amp;SUBSTITUTE(SUBSTITUTE(FORMULATEXT('Work 1'!C12),"$",""),"Work ","Work"),ROW($Z$1:$Z$700),1)&lt;&gt;".")*(1-(CODE(MID(SUBSTITUTE(SUBSTITUTE(FORMULATEXT('Work 1'!C12),"$",""),"Work ","Work"),ROW($Z$1:$Z$700),1)&amp;" ")&gt;47)*(CODE(MID(SUBSTITUTE(SUBSTITUTE(FORMULATEXT('Work 1'!C12),"$",""),"Work ","Work"),ROW($Z$1:$Z$700),1)&amp;" ")&lt;51)*(1-(CODE(MID(SUBSTITUTE(SUBSTITUTE(FORMULATEXT('Work 1'!C12),"$",""),"Work ","Work")&amp;" ",ROW($Z$1:$Z$700)+1,1)&amp;" ")&gt;47)*(CODE(MID(SUBSTITUTE(SUBSTITUTE(FORMULATEXT('Work 1'!C12),"$",""),"Work ","Work")&amp;" ",ROW($Z$1:$Z$700)+1,1)&amp;" ")&lt;58))*(MID(SUBSTITUTE(SUBSTITUTE(FORMULATEXT('Work 1'!C12),"$",""),"Work ","Work")&amp;" ",ROW($Z$1:$Z$700)+1,1)&lt;&gt;"."))*(1-(MID(SUBSTITUTE(SUBSTITUTE(FORMULATEXT('Work 1'!C12),"$",""),"Work ","Work"),ROW($Z$1:$Z$700),4)="1000")*(1-(CODE(MID(SUBSTITUTE(SUBSTITUTE(FORMULATEXT('Work 1'!C12),"$",""),"Work ","Work")&amp;"     ",ROW($Z$1:$Z$700)+4,1)&amp;" ")&gt;47)*(CODE(MID(SUBSTITUTE(SUBSTITUTE(FORMULATEXT('Work 1'!C12),"$",""),"Work ","Work")&amp;"     ",ROW($Z$1:$Z$700)+4,1)&amp;" ")&lt;58))*(MID(SUBSTITUTE(SUBSTITUTE(FORMULATEXT('Work 1'!C12),"$",""),"Work ","Work")&amp;"     ",ROW($Z$1:$Z$700)+4,1)&lt;&gt;"."))),0)</f>
        <v/>
      </c>
    </row>
    <row r="7" ht="16.5" customHeight="1" s="54">
      <c r="A7" s="4" t="n">
        <v>3</v>
      </c>
      <c r="B7" s="9" t="inlineStr">
        <is>
          <t>Part B: all 10 items answered.</t>
        </is>
      </c>
      <c r="C7" s="53">
        <f>IF(COUNTA('Part B'!C5:C14)=10,"OK","CHECK")</f>
        <v/>
      </c>
      <c r="G7" s="3" t="inlineStr">
        <is>
          <t>Work 1!C13</t>
        </is>
      </c>
      <c r="H7" s="3">
        <f>--NOT(ISNA(FORMULATEXT('Work 1'!C13)))</f>
        <v/>
      </c>
      <c r="I7" s="3">
        <f>IFERROR(SUMPRODUCT((CODE(MID(SUBSTITUTE(SUBSTITUTE(FORMULATEXT('Work 1'!C13),"$",""),"Work ","Work"),ROW($Z$1:$Z$700),1)&amp;" ")&gt;47)*(CODE(MID(SUBSTITUTE(SUBSTITUTE(FORMULATEXT('Work 1'!C13),"$",""),"Work ","Work"),ROW($Z$1:$Z$700),1)&amp;" ")&lt;58)*(1-(CODE(MID(" "&amp;SUBSTITUTE(SUBSTITUTE(FORMULATEXT('Work 1'!C13),"$",""),"Work ","Work"),ROW($Z$1:$Z$700),1)&amp;" ")&gt;47)*(CODE(MID(" "&amp;SUBSTITUTE(SUBSTITUTE(FORMULATEXT('Work 1'!C13),"$",""),"Work ","Work"),ROW($Z$1:$Z$700),1)&amp;" ")&lt;58))*EXACT(UPPER(MID(" "&amp;SUBSTITUTE(SUBSTITUTE(FORMULATEXT('Work 1'!C13),"$",""),"Work ","Work"),ROW($Z$1:$Z$700),1)),LOWER(MID(" "&amp;SUBSTITUTE(SUBSTITUTE(FORMULATEXT('Work 1'!C13),"$",""),"Work ","Work"),ROW($Z$1:$Z$700),1)))*(MID(" "&amp;SUBSTITUTE(SUBSTITUTE(FORMULATEXT('Work 1'!C13),"$",""),"Work ","Work"),ROW($Z$1:$Z$700),1)&lt;&gt;".")*(1-(CODE(MID(SUBSTITUTE(SUBSTITUTE(FORMULATEXT('Work 1'!C13),"$",""),"Work ","Work"),ROW($Z$1:$Z$700),1)&amp;" ")&gt;47)*(CODE(MID(SUBSTITUTE(SUBSTITUTE(FORMULATEXT('Work 1'!C13),"$",""),"Work ","Work"),ROW($Z$1:$Z$700),1)&amp;" ")&lt;51)*(1-(CODE(MID(SUBSTITUTE(SUBSTITUTE(FORMULATEXT('Work 1'!C13),"$",""),"Work ","Work")&amp;" ",ROW($Z$1:$Z$700)+1,1)&amp;" ")&gt;47)*(CODE(MID(SUBSTITUTE(SUBSTITUTE(FORMULATEXT('Work 1'!C13),"$",""),"Work ","Work")&amp;" ",ROW($Z$1:$Z$700)+1,1)&amp;" ")&lt;58))*(MID(SUBSTITUTE(SUBSTITUTE(FORMULATEXT('Work 1'!C13),"$",""),"Work ","Work")&amp;" ",ROW($Z$1:$Z$700)+1,1)&lt;&gt;"."))*(1-(MID(SUBSTITUTE(SUBSTITUTE(FORMULATEXT('Work 1'!C13),"$",""),"Work ","Work"),ROW($Z$1:$Z$700),4)="1000")*(1-(CODE(MID(SUBSTITUTE(SUBSTITUTE(FORMULATEXT('Work 1'!C13),"$",""),"Work ","Work")&amp;"     ",ROW($Z$1:$Z$700)+4,1)&amp;" ")&gt;47)*(CODE(MID(SUBSTITUTE(SUBSTITUTE(FORMULATEXT('Work 1'!C13),"$",""),"Work ","Work")&amp;"     ",ROW($Z$1:$Z$700)+4,1)&amp;" ")&lt;58))*(MID(SUBSTITUTE(SUBSTITUTE(FORMULATEXT('Work 1'!C13),"$",""),"Work ","Work")&amp;"     ",ROW($Z$1:$Z$700)+4,1)&lt;&gt;"."))),0)</f>
        <v/>
      </c>
    </row>
    <row r="8" ht="16.5" customHeight="1" s="54">
      <c r="A8" s="4" t="n">
        <v>4</v>
      </c>
      <c r="B8" s="9" t="inlineStr">
        <is>
          <t>Data Pack columns A to J are unchanged (1,010 rows).</t>
        </is>
      </c>
      <c r="C8" s="53">
        <f>IF(AND(COUNTA('Data Pack'!A5:A1214)=1010,ABS(SUM('Data Pack'!I5:I1214)-121907850.26)&lt;0.01,COUNT('Data Pack'!G5:G1214)=1010),"OK","CHECK")</f>
        <v/>
      </c>
      <c r="G8" s="3" t="inlineStr">
        <is>
          <t>Work 1!C14</t>
        </is>
      </c>
      <c r="H8" s="3">
        <f>--NOT(ISNA(FORMULATEXT('Work 1'!C14)))</f>
        <v/>
      </c>
      <c r="I8" s="3">
        <f>IFERROR(SUMPRODUCT((CODE(MID(SUBSTITUTE(SUBSTITUTE(FORMULATEXT('Work 1'!C14),"$",""),"Work ","Work"),ROW($Z$1:$Z$700),1)&amp;" ")&gt;47)*(CODE(MID(SUBSTITUTE(SUBSTITUTE(FORMULATEXT('Work 1'!C14),"$",""),"Work ","Work"),ROW($Z$1:$Z$700),1)&amp;" ")&lt;58)*(1-(CODE(MID(" "&amp;SUBSTITUTE(SUBSTITUTE(FORMULATEXT('Work 1'!C14),"$",""),"Work ","Work"),ROW($Z$1:$Z$700),1)&amp;" ")&gt;47)*(CODE(MID(" "&amp;SUBSTITUTE(SUBSTITUTE(FORMULATEXT('Work 1'!C14),"$",""),"Work ","Work"),ROW($Z$1:$Z$700),1)&amp;" ")&lt;58))*EXACT(UPPER(MID(" "&amp;SUBSTITUTE(SUBSTITUTE(FORMULATEXT('Work 1'!C14),"$",""),"Work ","Work"),ROW($Z$1:$Z$700),1)),LOWER(MID(" "&amp;SUBSTITUTE(SUBSTITUTE(FORMULATEXT('Work 1'!C14),"$",""),"Work ","Work"),ROW($Z$1:$Z$700),1)))*(MID(" "&amp;SUBSTITUTE(SUBSTITUTE(FORMULATEXT('Work 1'!C14),"$",""),"Work ","Work"),ROW($Z$1:$Z$700),1)&lt;&gt;".")*(1-(CODE(MID(SUBSTITUTE(SUBSTITUTE(FORMULATEXT('Work 1'!C14),"$",""),"Work ","Work"),ROW($Z$1:$Z$700),1)&amp;" ")&gt;47)*(CODE(MID(SUBSTITUTE(SUBSTITUTE(FORMULATEXT('Work 1'!C14),"$",""),"Work ","Work"),ROW($Z$1:$Z$700),1)&amp;" ")&lt;51)*(1-(CODE(MID(SUBSTITUTE(SUBSTITUTE(FORMULATEXT('Work 1'!C14),"$",""),"Work ","Work")&amp;" ",ROW($Z$1:$Z$700)+1,1)&amp;" ")&gt;47)*(CODE(MID(SUBSTITUTE(SUBSTITUTE(FORMULATEXT('Work 1'!C14),"$",""),"Work ","Work")&amp;" ",ROW($Z$1:$Z$700)+1,1)&amp;" ")&lt;58))*(MID(SUBSTITUTE(SUBSTITUTE(FORMULATEXT('Work 1'!C14),"$",""),"Work ","Work")&amp;" ",ROW($Z$1:$Z$700)+1,1)&lt;&gt;"."))*(1-(MID(SUBSTITUTE(SUBSTITUTE(FORMULATEXT('Work 1'!C14),"$",""),"Work ","Work"),ROW($Z$1:$Z$700),4)="1000")*(1-(CODE(MID(SUBSTITUTE(SUBSTITUTE(FORMULATEXT('Work 1'!C14),"$",""),"Work ","Work")&amp;"     ",ROW($Z$1:$Z$700)+4,1)&amp;" ")&gt;47)*(CODE(MID(SUBSTITUTE(SUBSTITUTE(FORMULATEXT('Work 1'!C14),"$",""),"Work ","Work")&amp;"     ",ROW($Z$1:$Z$700)+4,1)&amp;" ")&lt;58))*(MID(SUBSTITUTE(SUBSTITUTE(FORMULATEXT('Work 1'!C14),"$",""),"Work ","Work")&amp;"     ",ROW($Z$1:$Z$700)+4,1)&lt;&gt;"."))),0)</f>
        <v/>
      </c>
    </row>
    <row r="9" ht="16.5" customHeight="1" s="54">
      <c r="A9" s="4" t="n">
        <v>5</v>
      </c>
      <c r="B9" s="9" t="inlineStr">
        <is>
          <t>Work 1: every scored answer cell holds a formula (10 cells).</t>
        </is>
      </c>
      <c r="C9" s="53">
        <f>IF(SUM($H$5:$H$14)=10,"OK","CHECK")</f>
        <v/>
      </c>
      <c r="G9" s="3" t="inlineStr">
        <is>
          <t>Work 1!C15</t>
        </is>
      </c>
      <c r="H9" s="3">
        <f>--NOT(ISNA(FORMULATEXT('Work 1'!C15)))</f>
        <v/>
      </c>
      <c r="I9" s="3">
        <f>IFERROR(SUMPRODUCT((CODE(MID(SUBSTITUTE(SUBSTITUTE(FORMULATEXT('Work 1'!C15),"$",""),"Work ","Work"),ROW($Z$1:$Z$700),1)&amp;" ")&gt;47)*(CODE(MID(SUBSTITUTE(SUBSTITUTE(FORMULATEXT('Work 1'!C15),"$",""),"Work ","Work"),ROW($Z$1:$Z$700),1)&amp;" ")&lt;58)*(1-(CODE(MID(" "&amp;SUBSTITUTE(SUBSTITUTE(FORMULATEXT('Work 1'!C15),"$",""),"Work ","Work"),ROW($Z$1:$Z$700),1)&amp;" ")&gt;47)*(CODE(MID(" "&amp;SUBSTITUTE(SUBSTITUTE(FORMULATEXT('Work 1'!C15),"$",""),"Work ","Work"),ROW($Z$1:$Z$700),1)&amp;" ")&lt;58))*EXACT(UPPER(MID(" "&amp;SUBSTITUTE(SUBSTITUTE(FORMULATEXT('Work 1'!C15),"$",""),"Work ","Work"),ROW($Z$1:$Z$700),1)),LOWER(MID(" "&amp;SUBSTITUTE(SUBSTITUTE(FORMULATEXT('Work 1'!C15),"$",""),"Work ","Work"),ROW($Z$1:$Z$700),1)))*(MID(" "&amp;SUBSTITUTE(SUBSTITUTE(FORMULATEXT('Work 1'!C15),"$",""),"Work ","Work"),ROW($Z$1:$Z$700),1)&lt;&gt;".")*(1-(CODE(MID(SUBSTITUTE(SUBSTITUTE(FORMULATEXT('Work 1'!C15),"$",""),"Work ","Work"),ROW($Z$1:$Z$700),1)&amp;" ")&gt;47)*(CODE(MID(SUBSTITUTE(SUBSTITUTE(FORMULATEXT('Work 1'!C15),"$",""),"Work ","Work"),ROW($Z$1:$Z$700),1)&amp;" ")&lt;51)*(1-(CODE(MID(SUBSTITUTE(SUBSTITUTE(FORMULATEXT('Work 1'!C15),"$",""),"Work ","Work")&amp;" ",ROW($Z$1:$Z$700)+1,1)&amp;" ")&gt;47)*(CODE(MID(SUBSTITUTE(SUBSTITUTE(FORMULATEXT('Work 1'!C15),"$",""),"Work ","Work")&amp;" ",ROW($Z$1:$Z$700)+1,1)&amp;" ")&lt;58))*(MID(SUBSTITUTE(SUBSTITUTE(FORMULATEXT('Work 1'!C15),"$",""),"Work ","Work")&amp;" ",ROW($Z$1:$Z$700)+1,1)&lt;&gt;"."))*(1-(MID(SUBSTITUTE(SUBSTITUTE(FORMULATEXT('Work 1'!C15),"$",""),"Work ","Work"),ROW($Z$1:$Z$700),4)="1000")*(1-(CODE(MID(SUBSTITUTE(SUBSTITUTE(FORMULATEXT('Work 1'!C15),"$",""),"Work ","Work")&amp;"     ",ROW($Z$1:$Z$700)+4,1)&amp;" ")&gt;47)*(CODE(MID(SUBSTITUTE(SUBSTITUTE(FORMULATEXT('Work 1'!C15),"$",""),"Work ","Work")&amp;"     ",ROW($Z$1:$Z$700)+4,1)&amp;" ")&lt;58))*(MID(SUBSTITUTE(SUBSTITUTE(FORMULATEXT('Work 1'!C15),"$",""),"Work ","Work")&amp;"     ",ROW($Z$1:$Z$700)+4,1)&lt;&gt;"."))),0)</f>
        <v/>
      </c>
    </row>
    <row r="10" ht="16.5" customHeight="1" s="54">
      <c r="A10" s="4" t="n">
        <v>6</v>
      </c>
      <c r="B10" s="9" t="inlineStr">
        <is>
          <t>Work 1: no typed numbers inside the scored formulas (use the input cells).</t>
        </is>
      </c>
      <c r="C10" s="53">
        <f>IF(SUM($I$5:$I$14)=0,"OK","CHECK")</f>
        <v/>
      </c>
      <c r="G10" s="3" t="inlineStr">
        <is>
          <t>Work 1!C16</t>
        </is>
      </c>
      <c r="H10" s="3">
        <f>--NOT(ISNA(FORMULATEXT('Work 1'!C16)))</f>
        <v/>
      </c>
      <c r="I10" s="3">
        <f>IFERROR(SUMPRODUCT((CODE(MID(SUBSTITUTE(SUBSTITUTE(FORMULATEXT('Work 1'!C16),"$",""),"Work ","Work"),ROW($Z$1:$Z$700),1)&amp;" ")&gt;47)*(CODE(MID(SUBSTITUTE(SUBSTITUTE(FORMULATEXT('Work 1'!C16),"$",""),"Work ","Work"),ROW($Z$1:$Z$700),1)&amp;" ")&lt;58)*(1-(CODE(MID(" "&amp;SUBSTITUTE(SUBSTITUTE(FORMULATEXT('Work 1'!C16),"$",""),"Work ","Work"),ROW($Z$1:$Z$700),1)&amp;" ")&gt;47)*(CODE(MID(" "&amp;SUBSTITUTE(SUBSTITUTE(FORMULATEXT('Work 1'!C16),"$",""),"Work ","Work"),ROW($Z$1:$Z$700),1)&amp;" ")&lt;58))*EXACT(UPPER(MID(" "&amp;SUBSTITUTE(SUBSTITUTE(FORMULATEXT('Work 1'!C16),"$",""),"Work ","Work"),ROW($Z$1:$Z$700),1)),LOWER(MID(" "&amp;SUBSTITUTE(SUBSTITUTE(FORMULATEXT('Work 1'!C16),"$",""),"Work ","Work"),ROW($Z$1:$Z$700),1)))*(MID(" "&amp;SUBSTITUTE(SUBSTITUTE(FORMULATEXT('Work 1'!C16),"$",""),"Work ","Work"),ROW($Z$1:$Z$700),1)&lt;&gt;".")*(1-(CODE(MID(SUBSTITUTE(SUBSTITUTE(FORMULATEXT('Work 1'!C16),"$",""),"Work ","Work"),ROW($Z$1:$Z$700),1)&amp;" ")&gt;47)*(CODE(MID(SUBSTITUTE(SUBSTITUTE(FORMULATEXT('Work 1'!C16),"$",""),"Work ","Work"),ROW($Z$1:$Z$700),1)&amp;" ")&lt;51)*(1-(CODE(MID(SUBSTITUTE(SUBSTITUTE(FORMULATEXT('Work 1'!C16),"$",""),"Work ","Work")&amp;" ",ROW($Z$1:$Z$700)+1,1)&amp;" ")&gt;47)*(CODE(MID(SUBSTITUTE(SUBSTITUTE(FORMULATEXT('Work 1'!C16),"$",""),"Work ","Work")&amp;" ",ROW($Z$1:$Z$700)+1,1)&amp;" ")&lt;58))*(MID(SUBSTITUTE(SUBSTITUTE(FORMULATEXT('Work 1'!C16),"$",""),"Work ","Work")&amp;" ",ROW($Z$1:$Z$700)+1,1)&lt;&gt;"."))*(1-(MID(SUBSTITUTE(SUBSTITUTE(FORMULATEXT('Work 1'!C16),"$",""),"Work ","Work"),ROW($Z$1:$Z$700),4)="1000")*(1-(CODE(MID(SUBSTITUTE(SUBSTITUTE(FORMULATEXT('Work 1'!C16),"$",""),"Work ","Work")&amp;"     ",ROW($Z$1:$Z$700)+4,1)&amp;" ")&gt;47)*(CODE(MID(SUBSTITUTE(SUBSTITUTE(FORMULATEXT('Work 1'!C16),"$",""),"Work ","Work")&amp;"     ",ROW($Z$1:$Z$700)+4,1)&amp;" ")&lt;58))*(MID(SUBSTITUTE(SUBSTITUTE(FORMULATEXT('Work 1'!C16),"$",""),"Work ","Work")&amp;"     ",ROW($Z$1:$Z$700)+4,1)&lt;&gt;"."))),0)</f>
        <v/>
      </c>
    </row>
    <row r="11" ht="16.5" customHeight="1" s="54">
      <c r="A11" s="4" t="n">
        <v>7</v>
      </c>
      <c r="B11" s="9" t="inlineStr">
        <is>
          <t>Work 2: every scored answer cell holds a formula (1 cell).</t>
        </is>
      </c>
      <c r="C11" s="53">
        <f>IF(SUM($H$15)=1,"OK","CHECK")</f>
        <v/>
      </c>
      <c r="G11" s="3" t="inlineStr">
        <is>
          <t>Work 1!C17</t>
        </is>
      </c>
      <c r="H11" s="3">
        <f>--NOT(ISNA(FORMULATEXT('Work 1'!C17)))</f>
        <v/>
      </c>
      <c r="I11" s="3">
        <f>IFERROR(SUMPRODUCT((CODE(MID(SUBSTITUTE(SUBSTITUTE(FORMULATEXT('Work 1'!C17),"$",""),"Work ","Work"),ROW($Z$1:$Z$700),1)&amp;" ")&gt;47)*(CODE(MID(SUBSTITUTE(SUBSTITUTE(FORMULATEXT('Work 1'!C17),"$",""),"Work ","Work"),ROW($Z$1:$Z$700),1)&amp;" ")&lt;58)*(1-(CODE(MID(" "&amp;SUBSTITUTE(SUBSTITUTE(FORMULATEXT('Work 1'!C17),"$",""),"Work ","Work"),ROW($Z$1:$Z$700),1)&amp;" ")&gt;47)*(CODE(MID(" "&amp;SUBSTITUTE(SUBSTITUTE(FORMULATEXT('Work 1'!C17),"$",""),"Work ","Work"),ROW($Z$1:$Z$700),1)&amp;" ")&lt;58))*EXACT(UPPER(MID(" "&amp;SUBSTITUTE(SUBSTITUTE(FORMULATEXT('Work 1'!C17),"$",""),"Work ","Work"),ROW($Z$1:$Z$700),1)),LOWER(MID(" "&amp;SUBSTITUTE(SUBSTITUTE(FORMULATEXT('Work 1'!C17),"$",""),"Work ","Work"),ROW($Z$1:$Z$700),1)))*(MID(" "&amp;SUBSTITUTE(SUBSTITUTE(FORMULATEXT('Work 1'!C17),"$",""),"Work ","Work"),ROW($Z$1:$Z$700),1)&lt;&gt;".")*(1-(CODE(MID(SUBSTITUTE(SUBSTITUTE(FORMULATEXT('Work 1'!C17),"$",""),"Work ","Work"),ROW($Z$1:$Z$700),1)&amp;" ")&gt;47)*(CODE(MID(SUBSTITUTE(SUBSTITUTE(FORMULATEXT('Work 1'!C17),"$",""),"Work ","Work"),ROW($Z$1:$Z$700),1)&amp;" ")&lt;51)*(1-(CODE(MID(SUBSTITUTE(SUBSTITUTE(FORMULATEXT('Work 1'!C17),"$",""),"Work ","Work")&amp;" ",ROW($Z$1:$Z$700)+1,1)&amp;" ")&gt;47)*(CODE(MID(SUBSTITUTE(SUBSTITUTE(FORMULATEXT('Work 1'!C17),"$",""),"Work ","Work")&amp;" ",ROW($Z$1:$Z$700)+1,1)&amp;" ")&lt;58))*(MID(SUBSTITUTE(SUBSTITUTE(FORMULATEXT('Work 1'!C17),"$",""),"Work ","Work")&amp;" ",ROW($Z$1:$Z$700)+1,1)&lt;&gt;"."))*(1-(MID(SUBSTITUTE(SUBSTITUTE(FORMULATEXT('Work 1'!C17),"$",""),"Work ","Work"),ROW($Z$1:$Z$700),4)="1000")*(1-(CODE(MID(SUBSTITUTE(SUBSTITUTE(FORMULATEXT('Work 1'!C17),"$",""),"Work ","Work")&amp;"     ",ROW($Z$1:$Z$700)+4,1)&amp;" ")&gt;47)*(CODE(MID(SUBSTITUTE(SUBSTITUTE(FORMULATEXT('Work 1'!C17),"$",""),"Work ","Work")&amp;"     ",ROW($Z$1:$Z$700)+4,1)&amp;" ")&lt;58))*(MID(SUBSTITUTE(SUBSTITUTE(FORMULATEXT('Work 1'!C17),"$",""),"Work ","Work")&amp;"     ",ROW($Z$1:$Z$700)+4,1)&lt;&gt;"."))),0)</f>
        <v/>
      </c>
    </row>
    <row r="12" ht="16.5" customHeight="1" s="54">
      <c r="A12" s="4" t="n">
        <v>8</v>
      </c>
      <c r="B12" s="9" t="inlineStr">
        <is>
          <t>Work 2: no typed numbers inside the scored formulas (use the input cells).</t>
        </is>
      </c>
      <c r="C12" s="53">
        <f>IF(SUM($I$15)=0,"OK","CHECK")</f>
        <v/>
      </c>
      <c r="G12" s="3" t="inlineStr">
        <is>
          <t>Work 1!C18</t>
        </is>
      </c>
      <c r="H12" s="3">
        <f>--NOT(ISNA(FORMULATEXT('Work 1'!C18)))</f>
        <v/>
      </c>
      <c r="I12" s="3">
        <f>IFERROR(SUMPRODUCT((CODE(MID(SUBSTITUTE(SUBSTITUTE(FORMULATEXT('Work 1'!C18),"$",""),"Work ","Work"),ROW($Z$1:$Z$700),1)&amp;" ")&gt;47)*(CODE(MID(SUBSTITUTE(SUBSTITUTE(FORMULATEXT('Work 1'!C18),"$",""),"Work ","Work"),ROW($Z$1:$Z$700),1)&amp;" ")&lt;58)*(1-(CODE(MID(" "&amp;SUBSTITUTE(SUBSTITUTE(FORMULATEXT('Work 1'!C18),"$",""),"Work ","Work"),ROW($Z$1:$Z$700),1)&amp;" ")&gt;47)*(CODE(MID(" "&amp;SUBSTITUTE(SUBSTITUTE(FORMULATEXT('Work 1'!C18),"$",""),"Work ","Work"),ROW($Z$1:$Z$700),1)&amp;" ")&lt;58))*EXACT(UPPER(MID(" "&amp;SUBSTITUTE(SUBSTITUTE(FORMULATEXT('Work 1'!C18),"$",""),"Work ","Work"),ROW($Z$1:$Z$700),1)),LOWER(MID(" "&amp;SUBSTITUTE(SUBSTITUTE(FORMULATEXT('Work 1'!C18),"$",""),"Work ","Work"),ROW($Z$1:$Z$700),1)))*(MID(" "&amp;SUBSTITUTE(SUBSTITUTE(FORMULATEXT('Work 1'!C18),"$",""),"Work ","Work"),ROW($Z$1:$Z$700),1)&lt;&gt;".")*(1-(CODE(MID(SUBSTITUTE(SUBSTITUTE(FORMULATEXT('Work 1'!C18),"$",""),"Work ","Work"),ROW($Z$1:$Z$700),1)&amp;" ")&gt;47)*(CODE(MID(SUBSTITUTE(SUBSTITUTE(FORMULATEXT('Work 1'!C18),"$",""),"Work ","Work"),ROW($Z$1:$Z$700),1)&amp;" ")&lt;51)*(1-(CODE(MID(SUBSTITUTE(SUBSTITUTE(FORMULATEXT('Work 1'!C18),"$",""),"Work ","Work")&amp;" ",ROW($Z$1:$Z$700)+1,1)&amp;" ")&gt;47)*(CODE(MID(SUBSTITUTE(SUBSTITUTE(FORMULATEXT('Work 1'!C18),"$",""),"Work ","Work")&amp;" ",ROW($Z$1:$Z$700)+1,1)&amp;" ")&lt;58))*(MID(SUBSTITUTE(SUBSTITUTE(FORMULATEXT('Work 1'!C18),"$",""),"Work ","Work")&amp;" ",ROW($Z$1:$Z$700)+1,1)&lt;&gt;"."))*(1-(MID(SUBSTITUTE(SUBSTITUTE(FORMULATEXT('Work 1'!C18),"$",""),"Work ","Work"),ROW($Z$1:$Z$700),4)="1000")*(1-(CODE(MID(SUBSTITUTE(SUBSTITUTE(FORMULATEXT('Work 1'!C18),"$",""),"Work ","Work")&amp;"     ",ROW($Z$1:$Z$700)+4,1)&amp;" ")&gt;47)*(CODE(MID(SUBSTITUTE(SUBSTITUTE(FORMULATEXT('Work 1'!C18),"$",""),"Work ","Work")&amp;"     ",ROW($Z$1:$Z$700)+4,1)&amp;" ")&lt;58))*(MID(SUBSTITUTE(SUBSTITUTE(FORMULATEXT('Work 1'!C18),"$",""),"Work ","Work")&amp;"     ",ROW($Z$1:$Z$700)+4,1)&lt;&gt;"."))),0)</f>
        <v/>
      </c>
    </row>
    <row r="13" ht="16.5" customHeight="1" s="54">
      <c r="A13" s="4" t="n">
        <v>9</v>
      </c>
      <c r="B13" s="9" t="inlineStr">
        <is>
          <t>Work 2: every yellow build cell holds a formula (8 cells).</t>
        </is>
      </c>
      <c r="C13" s="53">
        <f>IF(SUMPRODUCT(--NOT(ISNA(FORMULATEXT('Work 2'!D5:D12))))=8,"OK","CHECK")</f>
        <v/>
      </c>
      <c r="G13" s="3" t="inlineStr">
        <is>
          <t>Work 1!C19</t>
        </is>
      </c>
      <c r="H13" s="3">
        <f>--NOT(ISNA(FORMULATEXT('Work 1'!C19)))</f>
        <v/>
      </c>
      <c r="I13" s="3">
        <f>IFERROR(SUMPRODUCT((CODE(MID(SUBSTITUTE(SUBSTITUTE(FORMULATEXT('Work 1'!C19),"$",""),"Work ","Work"),ROW($Z$1:$Z$700),1)&amp;" ")&gt;47)*(CODE(MID(SUBSTITUTE(SUBSTITUTE(FORMULATEXT('Work 1'!C19),"$",""),"Work ","Work"),ROW($Z$1:$Z$700),1)&amp;" ")&lt;58)*(1-(CODE(MID(" "&amp;SUBSTITUTE(SUBSTITUTE(FORMULATEXT('Work 1'!C19),"$",""),"Work ","Work"),ROW($Z$1:$Z$700),1)&amp;" ")&gt;47)*(CODE(MID(" "&amp;SUBSTITUTE(SUBSTITUTE(FORMULATEXT('Work 1'!C19),"$",""),"Work ","Work"),ROW($Z$1:$Z$700),1)&amp;" ")&lt;58))*EXACT(UPPER(MID(" "&amp;SUBSTITUTE(SUBSTITUTE(FORMULATEXT('Work 1'!C19),"$",""),"Work ","Work"),ROW($Z$1:$Z$700),1)),LOWER(MID(" "&amp;SUBSTITUTE(SUBSTITUTE(FORMULATEXT('Work 1'!C19),"$",""),"Work ","Work"),ROW($Z$1:$Z$700),1)))*(MID(" "&amp;SUBSTITUTE(SUBSTITUTE(FORMULATEXT('Work 1'!C19),"$",""),"Work ","Work"),ROW($Z$1:$Z$700),1)&lt;&gt;".")*(1-(CODE(MID(SUBSTITUTE(SUBSTITUTE(FORMULATEXT('Work 1'!C19),"$",""),"Work ","Work"),ROW($Z$1:$Z$700),1)&amp;" ")&gt;47)*(CODE(MID(SUBSTITUTE(SUBSTITUTE(FORMULATEXT('Work 1'!C19),"$",""),"Work ","Work"),ROW($Z$1:$Z$700),1)&amp;" ")&lt;51)*(1-(CODE(MID(SUBSTITUTE(SUBSTITUTE(FORMULATEXT('Work 1'!C19),"$",""),"Work ","Work")&amp;" ",ROW($Z$1:$Z$700)+1,1)&amp;" ")&gt;47)*(CODE(MID(SUBSTITUTE(SUBSTITUTE(FORMULATEXT('Work 1'!C19),"$",""),"Work ","Work")&amp;" ",ROW($Z$1:$Z$700)+1,1)&amp;" ")&lt;58))*(MID(SUBSTITUTE(SUBSTITUTE(FORMULATEXT('Work 1'!C19),"$",""),"Work ","Work")&amp;" ",ROW($Z$1:$Z$700)+1,1)&lt;&gt;"."))*(1-(MID(SUBSTITUTE(SUBSTITUTE(FORMULATEXT('Work 1'!C19),"$",""),"Work ","Work"),ROW($Z$1:$Z$700),4)="1000")*(1-(CODE(MID(SUBSTITUTE(SUBSTITUTE(FORMULATEXT('Work 1'!C19),"$",""),"Work ","Work")&amp;"     ",ROW($Z$1:$Z$700)+4,1)&amp;" ")&gt;47)*(CODE(MID(SUBSTITUTE(SUBSTITUTE(FORMULATEXT('Work 1'!C19),"$",""),"Work ","Work")&amp;"     ",ROW($Z$1:$Z$700)+4,1)&amp;" ")&lt;58))*(MID(SUBSTITUTE(SUBSTITUTE(FORMULATEXT('Work 1'!C19),"$",""),"Work ","Work")&amp;"     ",ROW($Z$1:$Z$700)+4,1)&lt;&gt;"."))),0)</f>
        <v/>
      </c>
    </row>
    <row r="14" ht="16.5" customHeight="1" s="54">
      <c r="A14" s="4" t="n">
        <v>10</v>
      </c>
      <c r="B14" s="9" t="inlineStr">
        <is>
          <t>Work 3: every scored answer cell holds a formula (16 cells).</t>
        </is>
      </c>
      <c r="C14" s="53">
        <f>IF(SUM($H$16:$H$31)=16,"OK","CHECK")</f>
        <v/>
      </c>
      <c r="G14" s="3" t="inlineStr">
        <is>
          <t>Work 1!C20</t>
        </is>
      </c>
      <c r="H14" s="3">
        <f>--NOT(ISNA(FORMULATEXT('Work 1'!C20)))</f>
        <v/>
      </c>
      <c r="I14" s="3">
        <f>IFERROR(SUMPRODUCT((CODE(MID(SUBSTITUTE(SUBSTITUTE(FORMULATEXT('Work 1'!C20),"$",""),"Work ","Work"),ROW($Z$1:$Z$700),1)&amp;" ")&gt;47)*(CODE(MID(SUBSTITUTE(SUBSTITUTE(FORMULATEXT('Work 1'!C20),"$",""),"Work ","Work"),ROW($Z$1:$Z$700),1)&amp;" ")&lt;58)*(1-(CODE(MID(" "&amp;SUBSTITUTE(SUBSTITUTE(FORMULATEXT('Work 1'!C20),"$",""),"Work ","Work"),ROW($Z$1:$Z$700),1)&amp;" ")&gt;47)*(CODE(MID(" "&amp;SUBSTITUTE(SUBSTITUTE(FORMULATEXT('Work 1'!C20),"$",""),"Work ","Work"),ROW($Z$1:$Z$700),1)&amp;" ")&lt;58))*EXACT(UPPER(MID(" "&amp;SUBSTITUTE(SUBSTITUTE(FORMULATEXT('Work 1'!C20),"$",""),"Work ","Work"),ROW($Z$1:$Z$700),1)),LOWER(MID(" "&amp;SUBSTITUTE(SUBSTITUTE(FORMULATEXT('Work 1'!C20),"$",""),"Work ","Work"),ROW($Z$1:$Z$700),1)))*(MID(" "&amp;SUBSTITUTE(SUBSTITUTE(FORMULATEXT('Work 1'!C20),"$",""),"Work ","Work"),ROW($Z$1:$Z$700),1)&lt;&gt;".")*(1-(CODE(MID(SUBSTITUTE(SUBSTITUTE(FORMULATEXT('Work 1'!C20),"$",""),"Work ","Work"),ROW($Z$1:$Z$700),1)&amp;" ")&gt;47)*(CODE(MID(SUBSTITUTE(SUBSTITUTE(FORMULATEXT('Work 1'!C20),"$",""),"Work ","Work"),ROW($Z$1:$Z$700),1)&amp;" ")&lt;51)*(1-(CODE(MID(SUBSTITUTE(SUBSTITUTE(FORMULATEXT('Work 1'!C20),"$",""),"Work ","Work")&amp;" ",ROW($Z$1:$Z$700)+1,1)&amp;" ")&gt;47)*(CODE(MID(SUBSTITUTE(SUBSTITUTE(FORMULATEXT('Work 1'!C20),"$",""),"Work ","Work")&amp;" ",ROW($Z$1:$Z$700)+1,1)&amp;" ")&lt;58))*(MID(SUBSTITUTE(SUBSTITUTE(FORMULATEXT('Work 1'!C20),"$",""),"Work ","Work")&amp;" ",ROW($Z$1:$Z$700)+1,1)&lt;&gt;"."))*(1-(MID(SUBSTITUTE(SUBSTITUTE(FORMULATEXT('Work 1'!C20),"$",""),"Work ","Work"),ROW($Z$1:$Z$700),4)="1000")*(1-(CODE(MID(SUBSTITUTE(SUBSTITUTE(FORMULATEXT('Work 1'!C20),"$",""),"Work ","Work")&amp;"     ",ROW($Z$1:$Z$700)+4,1)&amp;" ")&gt;47)*(CODE(MID(SUBSTITUTE(SUBSTITUTE(FORMULATEXT('Work 1'!C20),"$",""),"Work ","Work")&amp;"     ",ROW($Z$1:$Z$700)+4,1)&amp;" ")&lt;58))*(MID(SUBSTITUTE(SUBSTITUTE(FORMULATEXT('Work 1'!C20),"$",""),"Work ","Work")&amp;"     ",ROW($Z$1:$Z$700)+4,1)&lt;&gt;"."))),0)</f>
        <v/>
      </c>
    </row>
    <row r="15" ht="16.5" customHeight="1" s="54">
      <c r="A15" s="4" t="n">
        <v>11</v>
      </c>
      <c r="B15" s="9" t="inlineStr">
        <is>
          <t>Work 3: no typed numbers inside the scored formulas (use the input cells).</t>
        </is>
      </c>
      <c r="C15" s="53">
        <f>IF(SUM($I$16:$I$31)=0,"OK","CHECK")</f>
        <v/>
      </c>
      <c r="G15" s="3" t="inlineStr">
        <is>
          <t>Work 2!D13</t>
        </is>
      </c>
      <c r="H15" s="3">
        <f>--NOT(ISNA(FORMULATEXT('Work 2'!D13)))</f>
        <v/>
      </c>
      <c r="I15" s="3">
        <f>IFERROR(SUMPRODUCT((CODE(MID(SUBSTITUTE(SUBSTITUTE(FORMULATEXT('Work 2'!D13),"$",""),"Work ","Work"),ROW($Z$1:$Z$700),1)&amp;" ")&gt;47)*(CODE(MID(SUBSTITUTE(SUBSTITUTE(FORMULATEXT('Work 2'!D13),"$",""),"Work ","Work"),ROW($Z$1:$Z$700),1)&amp;" ")&lt;58)*(1-(CODE(MID(" "&amp;SUBSTITUTE(SUBSTITUTE(FORMULATEXT('Work 2'!D13),"$",""),"Work ","Work"),ROW($Z$1:$Z$700),1)&amp;" ")&gt;47)*(CODE(MID(" "&amp;SUBSTITUTE(SUBSTITUTE(FORMULATEXT('Work 2'!D13),"$",""),"Work ","Work"),ROW($Z$1:$Z$700),1)&amp;" ")&lt;58))*EXACT(UPPER(MID(" "&amp;SUBSTITUTE(SUBSTITUTE(FORMULATEXT('Work 2'!D13),"$",""),"Work ","Work"),ROW($Z$1:$Z$700),1)),LOWER(MID(" "&amp;SUBSTITUTE(SUBSTITUTE(FORMULATEXT('Work 2'!D13),"$",""),"Work ","Work"),ROW($Z$1:$Z$700),1)))*(MID(" "&amp;SUBSTITUTE(SUBSTITUTE(FORMULATEXT('Work 2'!D13),"$",""),"Work ","Work"),ROW($Z$1:$Z$700),1)&lt;&gt;".")*(1-(CODE(MID(SUBSTITUTE(SUBSTITUTE(FORMULATEXT('Work 2'!D13),"$",""),"Work ","Work"),ROW($Z$1:$Z$700),1)&amp;" ")&gt;47)*(CODE(MID(SUBSTITUTE(SUBSTITUTE(FORMULATEXT('Work 2'!D13),"$",""),"Work ","Work"),ROW($Z$1:$Z$700),1)&amp;" ")&lt;51)*(1-(CODE(MID(SUBSTITUTE(SUBSTITUTE(FORMULATEXT('Work 2'!D13),"$",""),"Work ","Work")&amp;" ",ROW($Z$1:$Z$700)+1,1)&amp;" ")&gt;47)*(CODE(MID(SUBSTITUTE(SUBSTITUTE(FORMULATEXT('Work 2'!D13),"$",""),"Work ","Work")&amp;" ",ROW($Z$1:$Z$700)+1,1)&amp;" ")&lt;58))*(MID(SUBSTITUTE(SUBSTITUTE(FORMULATEXT('Work 2'!D13),"$",""),"Work ","Work")&amp;" ",ROW($Z$1:$Z$700)+1,1)&lt;&gt;"."))*(1-(MID(SUBSTITUTE(SUBSTITUTE(FORMULATEXT('Work 2'!D13),"$",""),"Work ","Work"),ROW($Z$1:$Z$700),4)="1000")*(1-(CODE(MID(SUBSTITUTE(SUBSTITUTE(FORMULATEXT('Work 2'!D13),"$",""),"Work ","Work")&amp;"     ",ROW($Z$1:$Z$700)+4,1)&amp;" ")&gt;47)*(CODE(MID(SUBSTITUTE(SUBSTITUTE(FORMULATEXT('Work 2'!D13),"$",""),"Work ","Work")&amp;"     ",ROW($Z$1:$Z$700)+4,1)&amp;" ")&lt;58))*(MID(SUBSTITUTE(SUBSTITUTE(FORMULATEXT('Work 2'!D13),"$",""),"Work ","Work")&amp;"     ",ROW($Z$1:$Z$700)+4,1)&lt;&gt;"."))),0)</f>
        <v/>
      </c>
    </row>
    <row r="16" ht="16.5" customHeight="1" s="54">
      <c r="A16" s="4" t="n">
        <v>12</v>
      </c>
      <c r="B16" s="9" t="inlineStr">
        <is>
          <t>Work 3: every yellow build cell holds a formula (231 cells).</t>
        </is>
      </c>
      <c r="C16" s="53">
        <f>IF(SUMPRODUCT(--NOT(ISNA(FORMULATEXT('Work 3'!C50:C61))))+SUMPRODUCT(--NOT(ISNA(FORMULATEXT('Work 3'!D65))))+SUMPRODUCT(--NOT(ISNA(FORMULATEXT('Work 3'!D72))))+SUMPRODUCT(--NOT(ISNA(FORMULATEXT('Work 3'!D79))))+SUMPRODUCT(--NOT(ISNA(FORMULATEXT('Work 3'!D80))))+SUMPRODUCT(--NOT(ISNA(FORMULATEXT('Work 3'!E65:J80))))+SUMPRODUCT(--NOT(ISNA(FORMULATEXT('Work 3'!D82:D90))))+SUMPRODUCT(--NOT(ISNA(FORMULATEXT('Work 3'!D94))))+SUMPRODUCT(--NOT(ISNA(FORMULATEXT('Work 3'!D101))))+SUMPRODUCT(--NOT(ISNA(FORMULATEXT('Work 3'!D108))))+SUMPRODUCT(--NOT(ISNA(FORMULATEXT('Work 3'!D109))))+SUMPRODUCT(--NOT(ISNA(FORMULATEXT('Work 3'!E94:J109))))+SUMPRODUCT(--NOT(ISNA(FORMULATEXT('Work 3'!D111:D119))))+SUMPRODUCT(--NOT(ISNA(FORMULATEXT('Work 3'!D123))))=231,"OK","CHECK")</f>
        <v/>
      </c>
      <c r="G16" s="3" t="inlineStr">
        <is>
          <t>Work 3!C5</t>
        </is>
      </c>
      <c r="H16" s="3">
        <f>--NOT(ISNA(FORMULATEXT('Work 3'!C5)))</f>
        <v/>
      </c>
      <c r="I16" s="3">
        <f>IFERROR(SUMPRODUCT((CODE(MID(SUBSTITUTE(SUBSTITUTE(FORMULATEXT('Work 3'!C5),"$",""),"Work ","Work"),ROW($Z$1:$Z$700),1)&amp;" ")&gt;47)*(CODE(MID(SUBSTITUTE(SUBSTITUTE(FORMULATEXT('Work 3'!C5),"$",""),"Work ","Work"),ROW($Z$1:$Z$700),1)&amp;" ")&lt;58)*(1-(CODE(MID(" "&amp;SUBSTITUTE(SUBSTITUTE(FORMULATEXT('Work 3'!C5),"$",""),"Work ","Work"),ROW($Z$1:$Z$700),1)&amp;" ")&gt;47)*(CODE(MID(" "&amp;SUBSTITUTE(SUBSTITUTE(FORMULATEXT('Work 3'!C5),"$",""),"Work ","Work"),ROW($Z$1:$Z$700),1)&amp;" ")&lt;58))*EXACT(UPPER(MID(" "&amp;SUBSTITUTE(SUBSTITUTE(FORMULATEXT('Work 3'!C5),"$",""),"Work ","Work"),ROW($Z$1:$Z$700),1)),LOWER(MID(" "&amp;SUBSTITUTE(SUBSTITUTE(FORMULATEXT('Work 3'!C5),"$",""),"Work ","Work"),ROW($Z$1:$Z$700),1)))*(MID(" "&amp;SUBSTITUTE(SUBSTITUTE(FORMULATEXT('Work 3'!C5),"$",""),"Work ","Work"),ROW($Z$1:$Z$700),1)&lt;&gt;".")*(1-(CODE(MID(SUBSTITUTE(SUBSTITUTE(FORMULATEXT('Work 3'!C5),"$",""),"Work ","Work"),ROW($Z$1:$Z$700),1)&amp;" ")&gt;47)*(CODE(MID(SUBSTITUTE(SUBSTITUTE(FORMULATEXT('Work 3'!C5),"$",""),"Work ","Work"),ROW($Z$1:$Z$700),1)&amp;" ")&lt;51)*(1-(CODE(MID(SUBSTITUTE(SUBSTITUTE(FORMULATEXT('Work 3'!C5),"$",""),"Work ","Work")&amp;" ",ROW($Z$1:$Z$700)+1,1)&amp;" ")&gt;47)*(CODE(MID(SUBSTITUTE(SUBSTITUTE(FORMULATEXT('Work 3'!C5),"$",""),"Work ","Work")&amp;" ",ROW($Z$1:$Z$700)+1,1)&amp;" ")&lt;58))*(MID(SUBSTITUTE(SUBSTITUTE(FORMULATEXT('Work 3'!C5),"$",""),"Work ","Work")&amp;" ",ROW($Z$1:$Z$700)+1,1)&lt;&gt;"."))*(1-(MID(SUBSTITUTE(SUBSTITUTE(FORMULATEXT('Work 3'!C5),"$",""),"Work ","Work"),ROW($Z$1:$Z$700),4)="1000")*(1-(CODE(MID(SUBSTITUTE(SUBSTITUTE(FORMULATEXT('Work 3'!C5),"$",""),"Work ","Work")&amp;"     ",ROW($Z$1:$Z$700)+4,1)&amp;" ")&gt;47)*(CODE(MID(SUBSTITUTE(SUBSTITUTE(FORMULATEXT('Work 3'!C5),"$",""),"Work ","Work")&amp;"     ",ROW($Z$1:$Z$700)+4,1)&amp;" ")&lt;58))*(MID(SUBSTITUTE(SUBSTITUTE(FORMULATEXT('Work 3'!C5),"$",""),"Work ","Work")&amp;"     ",ROW($Z$1:$Z$700)+4,1)&lt;&gt;"."))),0)</f>
        <v/>
      </c>
    </row>
    <row r="17" ht="16.5" customHeight="1" s="54">
      <c r="A17" s="4" t="n">
        <v>13</v>
      </c>
      <c r="B17" s="9" t="inlineStr">
        <is>
          <t>Work 4: every scored answer cell holds a formula (13 cells).</t>
        </is>
      </c>
      <c r="C17" s="53">
        <f>IF(SUM($H$32:$H$44)=13,"OK","CHECK")</f>
        <v/>
      </c>
      <c r="G17" s="3" t="inlineStr">
        <is>
          <t>Work 3!C6</t>
        </is>
      </c>
      <c r="H17" s="3">
        <f>--NOT(ISNA(FORMULATEXT('Work 3'!C6)))</f>
        <v/>
      </c>
      <c r="I17" s="3">
        <f>IFERROR(SUMPRODUCT((CODE(MID(SUBSTITUTE(SUBSTITUTE(FORMULATEXT('Work 3'!C6),"$",""),"Work ","Work"),ROW($Z$1:$Z$700),1)&amp;" ")&gt;47)*(CODE(MID(SUBSTITUTE(SUBSTITUTE(FORMULATEXT('Work 3'!C6),"$",""),"Work ","Work"),ROW($Z$1:$Z$700),1)&amp;" ")&lt;58)*(1-(CODE(MID(" "&amp;SUBSTITUTE(SUBSTITUTE(FORMULATEXT('Work 3'!C6),"$",""),"Work ","Work"),ROW($Z$1:$Z$700),1)&amp;" ")&gt;47)*(CODE(MID(" "&amp;SUBSTITUTE(SUBSTITUTE(FORMULATEXT('Work 3'!C6),"$",""),"Work ","Work"),ROW($Z$1:$Z$700),1)&amp;" ")&lt;58))*EXACT(UPPER(MID(" "&amp;SUBSTITUTE(SUBSTITUTE(FORMULATEXT('Work 3'!C6),"$",""),"Work ","Work"),ROW($Z$1:$Z$700),1)),LOWER(MID(" "&amp;SUBSTITUTE(SUBSTITUTE(FORMULATEXT('Work 3'!C6),"$",""),"Work ","Work"),ROW($Z$1:$Z$700),1)))*(MID(" "&amp;SUBSTITUTE(SUBSTITUTE(FORMULATEXT('Work 3'!C6),"$",""),"Work ","Work"),ROW($Z$1:$Z$700),1)&lt;&gt;".")*(1-(CODE(MID(SUBSTITUTE(SUBSTITUTE(FORMULATEXT('Work 3'!C6),"$",""),"Work ","Work"),ROW($Z$1:$Z$700),1)&amp;" ")&gt;47)*(CODE(MID(SUBSTITUTE(SUBSTITUTE(FORMULATEXT('Work 3'!C6),"$",""),"Work ","Work"),ROW($Z$1:$Z$700),1)&amp;" ")&lt;51)*(1-(CODE(MID(SUBSTITUTE(SUBSTITUTE(FORMULATEXT('Work 3'!C6),"$",""),"Work ","Work")&amp;" ",ROW($Z$1:$Z$700)+1,1)&amp;" ")&gt;47)*(CODE(MID(SUBSTITUTE(SUBSTITUTE(FORMULATEXT('Work 3'!C6),"$",""),"Work ","Work")&amp;" ",ROW($Z$1:$Z$700)+1,1)&amp;" ")&lt;58))*(MID(SUBSTITUTE(SUBSTITUTE(FORMULATEXT('Work 3'!C6),"$",""),"Work ","Work")&amp;" ",ROW($Z$1:$Z$700)+1,1)&lt;&gt;"."))*(1-(MID(SUBSTITUTE(SUBSTITUTE(FORMULATEXT('Work 3'!C6),"$",""),"Work ","Work"),ROW($Z$1:$Z$700),4)="1000")*(1-(CODE(MID(SUBSTITUTE(SUBSTITUTE(FORMULATEXT('Work 3'!C6),"$",""),"Work ","Work")&amp;"     ",ROW($Z$1:$Z$700)+4,1)&amp;" ")&gt;47)*(CODE(MID(SUBSTITUTE(SUBSTITUTE(FORMULATEXT('Work 3'!C6),"$",""),"Work ","Work")&amp;"     ",ROW($Z$1:$Z$700)+4,1)&amp;" ")&lt;58))*(MID(SUBSTITUTE(SUBSTITUTE(FORMULATEXT('Work 3'!C6),"$",""),"Work ","Work")&amp;"     ",ROW($Z$1:$Z$700)+4,1)&lt;&gt;"."))),0)</f>
        <v/>
      </c>
    </row>
    <row r="18" ht="16.5" customHeight="1" s="54">
      <c r="A18" s="4" t="n">
        <v>14</v>
      </c>
      <c r="B18" s="9" t="inlineStr">
        <is>
          <t>Work 4: no typed numbers inside the scored formulas (use the input cells).</t>
        </is>
      </c>
      <c r="C18" s="53">
        <f>IF(SUM($I$32:$I$44)=0,"OK","CHECK")</f>
        <v/>
      </c>
      <c r="G18" s="3" t="inlineStr">
        <is>
          <t>Work 3!C7</t>
        </is>
      </c>
      <c r="H18" s="3">
        <f>--NOT(ISNA(FORMULATEXT('Work 3'!C7)))</f>
        <v/>
      </c>
      <c r="I18" s="3">
        <f>IFERROR(SUMPRODUCT((CODE(MID(SUBSTITUTE(SUBSTITUTE(FORMULATEXT('Work 3'!C7),"$",""),"Work ","Work"),ROW($Z$1:$Z$700),1)&amp;" ")&gt;47)*(CODE(MID(SUBSTITUTE(SUBSTITUTE(FORMULATEXT('Work 3'!C7),"$",""),"Work ","Work"),ROW($Z$1:$Z$700),1)&amp;" ")&lt;58)*(1-(CODE(MID(" "&amp;SUBSTITUTE(SUBSTITUTE(FORMULATEXT('Work 3'!C7),"$",""),"Work ","Work"),ROW($Z$1:$Z$700),1)&amp;" ")&gt;47)*(CODE(MID(" "&amp;SUBSTITUTE(SUBSTITUTE(FORMULATEXT('Work 3'!C7),"$",""),"Work ","Work"),ROW($Z$1:$Z$700),1)&amp;" ")&lt;58))*EXACT(UPPER(MID(" "&amp;SUBSTITUTE(SUBSTITUTE(FORMULATEXT('Work 3'!C7),"$",""),"Work ","Work"),ROW($Z$1:$Z$700),1)),LOWER(MID(" "&amp;SUBSTITUTE(SUBSTITUTE(FORMULATEXT('Work 3'!C7),"$",""),"Work ","Work"),ROW($Z$1:$Z$700),1)))*(MID(" "&amp;SUBSTITUTE(SUBSTITUTE(FORMULATEXT('Work 3'!C7),"$",""),"Work ","Work"),ROW($Z$1:$Z$700),1)&lt;&gt;".")*(1-(CODE(MID(SUBSTITUTE(SUBSTITUTE(FORMULATEXT('Work 3'!C7),"$",""),"Work ","Work"),ROW($Z$1:$Z$700),1)&amp;" ")&gt;47)*(CODE(MID(SUBSTITUTE(SUBSTITUTE(FORMULATEXT('Work 3'!C7),"$",""),"Work ","Work"),ROW($Z$1:$Z$700),1)&amp;" ")&lt;51)*(1-(CODE(MID(SUBSTITUTE(SUBSTITUTE(FORMULATEXT('Work 3'!C7),"$",""),"Work ","Work")&amp;" ",ROW($Z$1:$Z$700)+1,1)&amp;" ")&gt;47)*(CODE(MID(SUBSTITUTE(SUBSTITUTE(FORMULATEXT('Work 3'!C7),"$",""),"Work ","Work")&amp;" ",ROW($Z$1:$Z$700)+1,1)&amp;" ")&lt;58))*(MID(SUBSTITUTE(SUBSTITUTE(FORMULATEXT('Work 3'!C7),"$",""),"Work ","Work")&amp;" ",ROW($Z$1:$Z$700)+1,1)&lt;&gt;"."))*(1-(MID(SUBSTITUTE(SUBSTITUTE(FORMULATEXT('Work 3'!C7),"$",""),"Work ","Work"),ROW($Z$1:$Z$700),4)="1000")*(1-(CODE(MID(SUBSTITUTE(SUBSTITUTE(FORMULATEXT('Work 3'!C7),"$",""),"Work ","Work")&amp;"     ",ROW($Z$1:$Z$700)+4,1)&amp;" ")&gt;47)*(CODE(MID(SUBSTITUTE(SUBSTITUTE(FORMULATEXT('Work 3'!C7),"$",""),"Work ","Work")&amp;"     ",ROW($Z$1:$Z$700)+4,1)&amp;" ")&lt;58))*(MID(SUBSTITUTE(SUBSTITUTE(FORMULATEXT('Work 3'!C7),"$",""),"Work ","Work")&amp;"     ",ROW($Z$1:$Z$700)+4,1)&lt;&gt;"."))),0)</f>
        <v/>
      </c>
    </row>
    <row r="19" ht="16.5" customHeight="1" s="54">
      <c r="A19" s="4" t="n">
        <v>15</v>
      </c>
      <c r="B19" s="9" t="inlineStr">
        <is>
          <t>Work 4: every yellow build cell holds a formula (3 cells).</t>
        </is>
      </c>
      <c r="C19" s="53">
        <f>IF(SUMPRODUCT(--NOT(ISNA(FORMULATEXT('Work 4'!C39:C41))))=3,"OK","CHECK")</f>
        <v/>
      </c>
      <c r="G19" s="3" t="inlineStr">
        <is>
          <t>Work 3!C8</t>
        </is>
      </c>
      <c r="H19" s="3">
        <f>--NOT(ISNA(FORMULATEXT('Work 3'!C8)))</f>
        <v/>
      </c>
      <c r="I19" s="3">
        <f>IFERROR(SUMPRODUCT((CODE(MID(SUBSTITUTE(SUBSTITUTE(FORMULATEXT('Work 3'!C8),"$",""),"Work ","Work"),ROW($Z$1:$Z$700),1)&amp;" ")&gt;47)*(CODE(MID(SUBSTITUTE(SUBSTITUTE(FORMULATEXT('Work 3'!C8),"$",""),"Work ","Work"),ROW($Z$1:$Z$700),1)&amp;" ")&lt;58)*(1-(CODE(MID(" "&amp;SUBSTITUTE(SUBSTITUTE(FORMULATEXT('Work 3'!C8),"$",""),"Work ","Work"),ROW($Z$1:$Z$700),1)&amp;" ")&gt;47)*(CODE(MID(" "&amp;SUBSTITUTE(SUBSTITUTE(FORMULATEXT('Work 3'!C8),"$",""),"Work ","Work"),ROW($Z$1:$Z$700),1)&amp;" ")&lt;58))*EXACT(UPPER(MID(" "&amp;SUBSTITUTE(SUBSTITUTE(FORMULATEXT('Work 3'!C8),"$",""),"Work ","Work"),ROW($Z$1:$Z$700),1)),LOWER(MID(" "&amp;SUBSTITUTE(SUBSTITUTE(FORMULATEXT('Work 3'!C8),"$",""),"Work ","Work"),ROW($Z$1:$Z$700),1)))*(MID(" "&amp;SUBSTITUTE(SUBSTITUTE(FORMULATEXT('Work 3'!C8),"$",""),"Work ","Work"),ROW($Z$1:$Z$700),1)&lt;&gt;".")*(1-(CODE(MID(SUBSTITUTE(SUBSTITUTE(FORMULATEXT('Work 3'!C8),"$",""),"Work ","Work"),ROW($Z$1:$Z$700),1)&amp;" ")&gt;47)*(CODE(MID(SUBSTITUTE(SUBSTITUTE(FORMULATEXT('Work 3'!C8),"$",""),"Work ","Work"),ROW($Z$1:$Z$700),1)&amp;" ")&lt;51)*(1-(CODE(MID(SUBSTITUTE(SUBSTITUTE(FORMULATEXT('Work 3'!C8),"$",""),"Work ","Work")&amp;" ",ROW($Z$1:$Z$700)+1,1)&amp;" ")&gt;47)*(CODE(MID(SUBSTITUTE(SUBSTITUTE(FORMULATEXT('Work 3'!C8),"$",""),"Work ","Work")&amp;" ",ROW($Z$1:$Z$700)+1,1)&amp;" ")&lt;58))*(MID(SUBSTITUTE(SUBSTITUTE(FORMULATEXT('Work 3'!C8),"$",""),"Work ","Work")&amp;" ",ROW($Z$1:$Z$700)+1,1)&lt;&gt;"."))*(1-(MID(SUBSTITUTE(SUBSTITUTE(FORMULATEXT('Work 3'!C8),"$",""),"Work ","Work"),ROW($Z$1:$Z$700),4)="1000")*(1-(CODE(MID(SUBSTITUTE(SUBSTITUTE(FORMULATEXT('Work 3'!C8),"$",""),"Work ","Work")&amp;"     ",ROW($Z$1:$Z$700)+4,1)&amp;" ")&gt;47)*(CODE(MID(SUBSTITUTE(SUBSTITUTE(FORMULATEXT('Work 3'!C8),"$",""),"Work ","Work")&amp;"     ",ROW($Z$1:$Z$700)+4,1)&amp;" ")&lt;58))*(MID(SUBSTITUTE(SUBSTITUTE(FORMULATEXT('Work 3'!C8),"$",""),"Work ","Work")&amp;"     ",ROW($Z$1:$Z$700)+4,1)&lt;&gt;"."))),0)</f>
        <v/>
      </c>
    </row>
    <row r="20" ht="16.5" customHeight="1" s="54">
      <c r="A20" s="4" t="n">
        <v>16</v>
      </c>
      <c r="B20" s="9" t="inlineStr">
        <is>
          <t>Work 5: every scored answer cell holds a formula (4 cells).</t>
        </is>
      </c>
      <c r="C20" s="53">
        <f>IF(SUM($H$45:$H$48)=4,"OK","CHECK")</f>
        <v/>
      </c>
      <c r="G20" s="3" t="inlineStr">
        <is>
          <t>Work 3!C9</t>
        </is>
      </c>
      <c r="H20" s="3">
        <f>--NOT(ISNA(FORMULATEXT('Work 3'!C9)))</f>
        <v/>
      </c>
      <c r="I20" s="3">
        <f>IFERROR(SUMPRODUCT((CODE(MID(SUBSTITUTE(SUBSTITUTE(FORMULATEXT('Work 3'!C9),"$",""),"Work ","Work"),ROW($Z$1:$Z$700),1)&amp;" ")&gt;47)*(CODE(MID(SUBSTITUTE(SUBSTITUTE(FORMULATEXT('Work 3'!C9),"$",""),"Work ","Work"),ROW($Z$1:$Z$700),1)&amp;" ")&lt;58)*(1-(CODE(MID(" "&amp;SUBSTITUTE(SUBSTITUTE(FORMULATEXT('Work 3'!C9),"$",""),"Work ","Work"),ROW($Z$1:$Z$700),1)&amp;" ")&gt;47)*(CODE(MID(" "&amp;SUBSTITUTE(SUBSTITUTE(FORMULATEXT('Work 3'!C9),"$",""),"Work ","Work"),ROW($Z$1:$Z$700),1)&amp;" ")&lt;58))*EXACT(UPPER(MID(" "&amp;SUBSTITUTE(SUBSTITUTE(FORMULATEXT('Work 3'!C9),"$",""),"Work ","Work"),ROW($Z$1:$Z$700),1)),LOWER(MID(" "&amp;SUBSTITUTE(SUBSTITUTE(FORMULATEXT('Work 3'!C9),"$",""),"Work ","Work"),ROW($Z$1:$Z$700),1)))*(MID(" "&amp;SUBSTITUTE(SUBSTITUTE(FORMULATEXT('Work 3'!C9),"$",""),"Work ","Work"),ROW($Z$1:$Z$700),1)&lt;&gt;".")*(1-(CODE(MID(SUBSTITUTE(SUBSTITUTE(FORMULATEXT('Work 3'!C9),"$",""),"Work ","Work"),ROW($Z$1:$Z$700),1)&amp;" ")&gt;47)*(CODE(MID(SUBSTITUTE(SUBSTITUTE(FORMULATEXT('Work 3'!C9),"$",""),"Work ","Work"),ROW($Z$1:$Z$700),1)&amp;" ")&lt;51)*(1-(CODE(MID(SUBSTITUTE(SUBSTITUTE(FORMULATEXT('Work 3'!C9),"$",""),"Work ","Work")&amp;" ",ROW($Z$1:$Z$700)+1,1)&amp;" ")&gt;47)*(CODE(MID(SUBSTITUTE(SUBSTITUTE(FORMULATEXT('Work 3'!C9),"$",""),"Work ","Work")&amp;" ",ROW($Z$1:$Z$700)+1,1)&amp;" ")&lt;58))*(MID(SUBSTITUTE(SUBSTITUTE(FORMULATEXT('Work 3'!C9),"$",""),"Work ","Work")&amp;" ",ROW($Z$1:$Z$700)+1,1)&lt;&gt;"."))*(1-(MID(SUBSTITUTE(SUBSTITUTE(FORMULATEXT('Work 3'!C9),"$",""),"Work ","Work"),ROW($Z$1:$Z$700),4)="1000")*(1-(CODE(MID(SUBSTITUTE(SUBSTITUTE(FORMULATEXT('Work 3'!C9),"$",""),"Work ","Work")&amp;"     ",ROW($Z$1:$Z$700)+4,1)&amp;" ")&gt;47)*(CODE(MID(SUBSTITUTE(SUBSTITUTE(FORMULATEXT('Work 3'!C9),"$",""),"Work ","Work")&amp;"     ",ROW($Z$1:$Z$700)+4,1)&amp;" ")&lt;58))*(MID(SUBSTITUTE(SUBSTITUTE(FORMULATEXT('Work 3'!C9),"$",""),"Work ","Work")&amp;"     ",ROW($Z$1:$Z$700)+4,1)&lt;&gt;"."))),0)</f>
        <v/>
      </c>
    </row>
    <row r="21" ht="16.5" customHeight="1" s="54">
      <c r="A21" s="4" t="n">
        <v>17</v>
      </c>
      <c r="B21" s="9" t="inlineStr">
        <is>
          <t>Work 5: no typed numbers inside the scored formulas (use the input cells).</t>
        </is>
      </c>
      <c r="C21" s="53">
        <f>IF(SUM($I$45:$I$48)=0,"OK","CHECK")</f>
        <v/>
      </c>
      <c r="G21" s="3" t="inlineStr">
        <is>
          <t>Work 3!C10</t>
        </is>
      </c>
      <c r="H21" s="3">
        <f>--NOT(ISNA(FORMULATEXT('Work 3'!C10)))</f>
        <v/>
      </c>
      <c r="I21" s="3">
        <f>IFERROR(SUMPRODUCT((CODE(MID(SUBSTITUTE(SUBSTITUTE(FORMULATEXT('Work 3'!C10),"$",""),"Work ","Work"),ROW($Z$1:$Z$700),1)&amp;" ")&gt;47)*(CODE(MID(SUBSTITUTE(SUBSTITUTE(FORMULATEXT('Work 3'!C10),"$",""),"Work ","Work"),ROW($Z$1:$Z$700),1)&amp;" ")&lt;58)*(1-(CODE(MID(" "&amp;SUBSTITUTE(SUBSTITUTE(FORMULATEXT('Work 3'!C10),"$",""),"Work ","Work"),ROW($Z$1:$Z$700),1)&amp;" ")&gt;47)*(CODE(MID(" "&amp;SUBSTITUTE(SUBSTITUTE(FORMULATEXT('Work 3'!C10),"$",""),"Work ","Work"),ROW($Z$1:$Z$700),1)&amp;" ")&lt;58))*EXACT(UPPER(MID(" "&amp;SUBSTITUTE(SUBSTITUTE(FORMULATEXT('Work 3'!C10),"$",""),"Work ","Work"),ROW($Z$1:$Z$700),1)),LOWER(MID(" "&amp;SUBSTITUTE(SUBSTITUTE(FORMULATEXT('Work 3'!C10),"$",""),"Work ","Work"),ROW($Z$1:$Z$700),1)))*(MID(" "&amp;SUBSTITUTE(SUBSTITUTE(FORMULATEXT('Work 3'!C10),"$",""),"Work ","Work"),ROW($Z$1:$Z$700),1)&lt;&gt;".")*(1-(CODE(MID(SUBSTITUTE(SUBSTITUTE(FORMULATEXT('Work 3'!C10),"$",""),"Work ","Work"),ROW($Z$1:$Z$700),1)&amp;" ")&gt;47)*(CODE(MID(SUBSTITUTE(SUBSTITUTE(FORMULATEXT('Work 3'!C10),"$",""),"Work ","Work"),ROW($Z$1:$Z$700),1)&amp;" ")&lt;51)*(1-(CODE(MID(SUBSTITUTE(SUBSTITUTE(FORMULATEXT('Work 3'!C10),"$",""),"Work ","Work")&amp;" ",ROW($Z$1:$Z$700)+1,1)&amp;" ")&gt;47)*(CODE(MID(SUBSTITUTE(SUBSTITUTE(FORMULATEXT('Work 3'!C10),"$",""),"Work ","Work")&amp;" ",ROW($Z$1:$Z$700)+1,1)&amp;" ")&lt;58))*(MID(SUBSTITUTE(SUBSTITUTE(FORMULATEXT('Work 3'!C10),"$",""),"Work ","Work")&amp;" ",ROW($Z$1:$Z$700)+1,1)&lt;&gt;"."))*(1-(MID(SUBSTITUTE(SUBSTITUTE(FORMULATEXT('Work 3'!C10),"$",""),"Work ","Work"),ROW($Z$1:$Z$700),4)="1000")*(1-(CODE(MID(SUBSTITUTE(SUBSTITUTE(FORMULATEXT('Work 3'!C10),"$",""),"Work ","Work")&amp;"     ",ROW($Z$1:$Z$700)+4,1)&amp;" ")&gt;47)*(CODE(MID(SUBSTITUTE(SUBSTITUTE(FORMULATEXT('Work 3'!C10),"$",""),"Work ","Work")&amp;"     ",ROW($Z$1:$Z$700)+4,1)&amp;" ")&lt;58))*(MID(SUBSTITUTE(SUBSTITUTE(FORMULATEXT('Work 3'!C10),"$",""),"Work ","Work")&amp;"     ",ROW($Z$1:$Z$700)+4,1)&lt;&gt;"."))),0)</f>
        <v/>
      </c>
    </row>
    <row r="22" ht="16.5" customHeight="1" s="54">
      <c r="A22" s="4" t="n">
        <v>18</v>
      </c>
      <c r="B22" s="9" t="inlineStr">
        <is>
          <t>Work 5: every yellow build cell holds a formula (3 cells).</t>
        </is>
      </c>
      <c r="C22" s="53">
        <f>IF(SUMPRODUCT(--NOT(ISNA(FORMULATEXT('Work 5'!C20:C22))))=3,"OK","CHECK")</f>
        <v/>
      </c>
      <c r="G22" s="3" t="inlineStr">
        <is>
          <t>Work 3!C11</t>
        </is>
      </c>
      <c r="H22" s="3">
        <f>--NOT(ISNA(FORMULATEXT('Work 3'!C11)))</f>
        <v/>
      </c>
      <c r="I22" s="3">
        <f>IFERROR(SUMPRODUCT((CODE(MID(SUBSTITUTE(SUBSTITUTE(FORMULATEXT('Work 3'!C11),"$",""),"Work ","Work"),ROW($Z$1:$Z$700),1)&amp;" ")&gt;47)*(CODE(MID(SUBSTITUTE(SUBSTITUTE(FORMULATEXT('Work 3'!C11),"$",""),"Work ","Work"),ROW($Z$1:$Z$700),1)&amp;" ")&lt;58)*(1-(CODE(MID(" "&amp;SUBSTITUTE(SUBSTITUTE(FORMULATEXT('Work 3'!C11),"$",""),"Work ","Work"),ROW($Z$1:$Z$700),1)&amp;" ")&gt;47)*(CODE(MID(" "&amp;SUBSTITUTE(SUBSTITUTE(FORMULATEXT('Work 3'!C11),"$",""),"Work ","Work"),ROW($Z$1:$Z$700),1)&amp;" ")&lt;58))*EXACT(UPPER(MID(" "&amp;SUBSTITUTE(SUBSTITUTE(FORMULATEXT('Work 3'!C11),"$",""),"Work ","Work"),ROW($Z$1:$Z$700),1)),LOWER(MID(" "&amp;SUBSTITUTE(SUBSTITUTE(FORMULATEXT('Work 3'!C11),"$",""),"Work ","Work"),ROW($Z$1:$Z$700),1)))*(MID(" "&amp;SUBSTITUTE(SUBSTITUTE(FORMULATEXT('Work 3'!C11),"$",""),"Work ","Work"),ROW($Z$1:$Z$700),1)&lt;&gt;".")*(1-(CODE(MID(SUBSTITUTE(SUBSTITUTE(FORMULATEXT('Work 3'!C11),"$",""),"Work ","Work"),ROW($Z$1:$Z$700),1)&amp;" ")&gt;47)*(CODE(MID(SUBSTITUTE(SUBSTITUTE(FORMULATEXT('Work 3'!C11),"$",""),"Work ","Work"),ROW($Z$1:$Z$700),1)&amp;" ")&lt;51)*(1-(CODE(MID(SUBSTITUTE(SUBSTITUTE(FORMULATEXT('Work 3'!C11),"$",""),"Work ","Work")&amp;" ",ROW($Z$1:$Z$700)+1,1)&amp;" ")&gt;47)*(CODE(MID(SUBSTITUTE(SUBSTITUTE(FORMULATEXT('Work 3'!C11),"$",""),"Work ","Work")&amp;" ",ROW($Z$1:$Z$700)+1,1)&amp;" ")&lt;58))*(MID(SUBSTITUTE(SUBSTITUTE(FORMULATEXT('Work 3'!C11),"$",""),"Work ","Work")&amp;" ",ROW($Z$1:$Z$700)+1,1)&lt;&gt;"."))*(1-(MID(SUBSTITUTE(SUBSTITUTE(FORMULATEXT('Work 3'!C11),"$",""),"Work ","Work"),ROW($Z$1:$Z$700),4)="1000")*(1-(CODE(MID(SUBSTITUTE(SUBSTITUTE(FORMULATEXT('Work 3'!C11),"$",""),"Work ","Work")&amp;"     ",ROW($Z$1:$Z$700)+4,1)&amp;" ")&gt;47)*(CODE(MID(SUBSTITUTE(SUBSTITUTE(FORMULATEXT('Work 3'!C11),"$",""),"Work ","Work")&amp;"     ",ROW($Z$1:$Z$700)+4,1)&amp;" ")&lt;58))*(MID(SUBSTITUTE(SUBSTITUTE(FORMULATEXT('Work 3'!C11),"$",""),"Work ","Work")&amp;"     ",ROW($Z$1:$Z$700)+4,1)&lt;&gt;"."))),0)</f>
        <v/>
      </c>
    </row>
    <row r="23" ht="16.5" customHeight="1" s="54">
      <c r="A23" s="4" t="n">
        <v>19</v>
      </c>
      <c r="B23" s="9" t="inlineStr">
        <is>
          <t>Work 6: every scored answer cell holds a formula (5 cells).</t>
        </is>
      </c>
      <c r="C23" s="53">
        <f>IF(SUM($H$49:$H$53)=5,"OK","CHECK")</f>
        <v/>
      </c>
      <c r="G23" s="3" t="inlineStr">
        <is>
          <t>Work 3!C12</t>
        </is>
      </c>
      <c r="H23" s="3">
        <f>--NOT(ISNA(FORMULATEXT('Work 3'!C12)))</f>
        <v/>
      </c>
      <c r="I23" s="3">
        <f>IFERROR(SUMPRODUCT((CODE(MID(SUBSTITUTE(SUBSTITUTE(FORMULATEXT('Work 3'!C12),"$",""),"Work ","Work"),ROW($Z$1:$Z$700),1)&amp;" ")&gt;47)*(CODE(MID(SUBSTITUTE(SUBSTITUTE(FORMULATEXT('Work 3'!C12),"$",""),"Work ","Work"),ROW($Z$1:$Z$700),1)&amp;" ")&lt;58)*(1-(CODE(MID(" "&amp;SUBSTITUTE(SUBSTITUTE(FORMULATEXT('Work 3'!C12),"$",""),"Work ","Work"),ROW($Z$1:$Z$700),1)&amp;" ")&gt;47)*(CODE(MID(" "&amp;SUBSTITUTE(SUBSTITUTE(FORMULATEXT('Work 3'!C12),"$",""),"Work ","Work"),ROW($Z$1:$Z$700),1)&amp;" ")&lt;58))*EXACT(UPPER(MID(" "&amp;SUBSTITUTE(SUBSTITUTE(FORMULATEXT('Work 3'!C12),"$",""),"Work ","Work"),ROW($Z$1:$Z$700),1)),LOWER(MID(" "&amp;SUBSTITUTE(SUBSTITUTE(FORMULATEXT('Work 3'!C12),"$",""),"Work ","Work"),ROW($Z$1:$Z$700),1)))*(MID(" "&amp;SUBSTITUTE(SUBSTITUTE(FORMULATEXT('Work 3'!C12),"$",""),"Work ","Work"),ROW($Z$1:$Z$700),1)&lt;&gt;".")*(1-(CODE(MID(SUBSTITUTE(SUBSTITUTE(FORMULATEXT('Work 3'!C12),"$",""),"Work ","Work"),ROW($Z$1:$Z$700),1)&amp;" ")&gt;47)*(CODE(MID(SUBSTITUTE(SUBSTITUTE(FORMULATEXT('Work 3'!C12),"$",""),"Work ","Work"),ROW($Z$1:$Z$700),1)&amp;" ")&lt;51)*(1-(CODE(MID(SUBSTITUTE(SUBSTITUTE(FORMULATEXT('Work 3'!C12),"$",""),"Work ","Work")&amp;" ",ROW($Z$1:$Z$700)+1,1)&amp;" ")&gt;47)*(CODE(MID(SUBSTITUTE(SUBSTITUTE(FORMULATEXT('Work 3'!C12),"$",""),"Work ","Work")&amp;" ",ROW($Z$1:$Z$700)+1,1)&amp;" ")&lt;58))*(MID(SUBSTITUTE(SUBSTITUTE(FORMULATEXT('Work 3'!C12),"$",""),"Work ","Work")&amp;" ",ROW($Z$1:$Z$700)+1,1)&lt;&gt;"."))*(1-(MID(SUBSTITUTE(SUBSTITUTE(FORMULATEXT('Work 3'!C12),"$",""),"Work ","Work"),ROW($Z$1:$Z$700),4)="1000")*(1-(CODE(MID(SUBSTITUTE(SUBSTITUTE(FORMULATEXT('Work 3'!C12),"$",""),"Work ","Work")&amp;"     ",ROW($Z$1:$Z$700)+4,1)&amp;" ")&gt;47)*(CODE(MID(SUBSTITUTE(SUBSTITUTE(FORMULATEXT('Work 3'!C12),"$",""),"Work ","Work")&amp;"     ",ROW($Z$1:$Z$700)+4,1)&amp;" ")&lt;58))*(MID(SUBSTITUTE(SUBSTITUTE(FORMULATEXT('Work 3'!C12),"$",""),"Work ","Work")&amp;"     ",ROW($Z$1:$Z$700)+4,1)&lt;&gt;"."))),0)</f>
        <v/>
      </c>
    </row>
    <row r="24" ht="16.5" customHeight="1" s="54">
      <c r="A24" s="4" t="n">
        <v>20</v>
      </c>
      <c r="B24" s="9" t="inlineStr">
        <is>
          <t>Work 6: no typed numbers inside the scored formulas (use the input cells).</t>
        </is>
      </c>
      <c r="C24" s="53">
        <f>IF(SUM($I$49:$I$53)=0,"OK","CHECK")</f>
        <v/>
      </c>
      <c r="G24" s="3" t="inlineStr">
        <is>
          <t>Work 3!C13</t>
        </is>
      </c>
      <c r="H24" s="3">
        <f>--NOT(ISNA(FORMULATEXT('Work 3'!C13)))</f>
        <v/>
      </c>
      <c r="I24" s="3">
        <f>IFERROR(SUMPRODUCT((CODE(MID(SUBSTITUTE(SUBSTITUTE(FORMULATEXT('Work 3'!C13),"$",""),"Work ","Work"),ROW($Z$1:$Z$700),1)&amp;" ")&gt;47)*(CODE(MID(SUBSTITUTE(SUBSTITUTE(FORMULATEXT('Work 3'!C13),"$",""),"Work ","Work"),ROW($Z$1:$Z$700),1)&amp;" ")&lt;58)*(1-(CODE(MID(" "&amp;SUBSTITUTE(SUBSTITUTE(FORMULATEXT('Work 3'!C13),"$",""),"Work ","Work"),ROW($Z$1:$Z$700),1)&amp;" ")&gt;47)*(CODE(MID(" "&amp;SUBSTITUTE(SUBSTITUTE(FORMULATEXT('Work 3'!C13),"$",""),"Work ","Work"),ROW($Z$1:$Z$700),1)&amp;" ")&lt;58))*EXACT(UPPER(MID(" "&amp;SUBSTITUTE(SUBSTITUTE(FORMULATEXT('Work 3'!C13),"$",""),"Work ","Work"),ROW($Z$1:$Z$700),1)),LOWER(MID(" "&amp;SUBSTITUTE(SUBSTITUTE(FORMULATEXT('Work 3'!C13),"$",""),"Work ","Work"),ROW($Z$1:$Z$700),1)))*(MID(" "&amp;SUBSTITUTE(SUBSTITUTE(FORMULATEXT('Work 3'!C13),"$",""),"Work ","Work"),ROW($Z$1:$Z$700),1)&lt;&gt;".")*(1-(CODE(MID(SUBSTITUTE(SUBSTITUTE(FORMULATEXT('Work 3'!C13),"$",""),"Work ","Work"),ROW($Z$1:$Z$700),1)&amp;" ")&gt;47)*(CODE(MID(SUBSTITUTE(SUBSTITUTE(FORMULATEXT('Work 3'!C13),"$",""),"Work ","Work"),ROW($Z$1:$Z$700),1)&amp;" ")&lt;51)*(1-(CODE(MID(SUBSTITUTE(SUBSTITUTE(FORMULATEXT('Work 3'!C13),"$",""),"Work ","Work")&amp;" ",ROW($Z$1:$Z$700)+1,1)&amp;" ")&gt;47)*(CODE(MID(SUBSTITUTE(SUBSTITUTE(FORMULATEXT('Work 3'!C13),"$",""),"Work ","Work")&amp;" ",ROW($Z$1:$Z$700)+1,1)&amp;" ")&lt;58))*(MID(SUBSTITUTE(SUBSTITUTE(FORMULATEXT('Work 3'!C13),"$",""),"Work ","Work")&amp;" ",ROW($Z$1:$Z$700)+1,1)&lt;&gt;"."))*(1-(MID(SUBSTITUTE(SUBSTITUTE(FORMULATEXT('Work 3'!C13),"$",""),"Work ","Work"),ROW($Z$1:$Z$700),4)="1000")*(1-(CODE(MID(SUBSTITUTE(SUBSTITUTE(FORMULATEXT('Work 3'!C13),"$",""),"Work ","Work")&amp;"     ",ROW($Z$1:$Z$700)+4,1)&amp;" ")&gt;47)*(CODE(MID(SUBSTITUTE(SUBSTITUTE(FORMULATEXT('Work 3'!C13),"$",""),"Work ","Work")&amp;"     ",ROW($Z$1:$Z$700)+4,1)&amp;" ")&lt;58))*(MID(SUBSTITUTE(SUBSTITUTE(FORMULATEXT('Work 3'!C13),"$",""),"Work ","Work")&amp;"     ",ROW($Z$1:$Z$700)+4,1)&lt;&gt;"."))),0)</f>
        <v/>
      </c>
    </row>
    <row r="25" ht="16.5" customHeight="1" s="54">
      <c r="A25" s="4" t="n">
        <v>21</v>
      </c>
      <c r="B25" s="9" t="inlineStr">
        <is>
          <t>Work 6: every yellow build cell holds a formula (5 cells).</t>
        </is>
      </c>
      <c r="C25" s="53">
        <f>IF(SUMPRODUCT(--NOT(ISNA(FORMULATEXT('Work 6'!C46:C50))))=5,"OK","CHECK")</f>
        <v/>
      </c>
      <c r="G25" s="3" t="inlineStr">
        <is>
          <t>Work 3!C14</t>
        </is>
      </c>
      <c r="H25" s="3">
        <f>--NOT(ISNA(FORMULATEXT('Work 3'!C14)))</f>
        <v/>
      </c>
      <c r="I25" s="3">
        <f>IFERROR(SUMPRODUCT((CODE(MID(SUBSTITUTE(SUBSTITUTE(FORMULATEXT('Work 3'!C14),"$",""),"Work ","Work"),ROW($Z$1:$Z$700),1)&amp;" ")&gt;47)*(CODE(MID(SUBSTITUTE(SUBSTITUTE(FORMULATEXT('Work 3'!C14),"$",""),"Work ","Work"),ROW($Z$1:$Z$700),1)&amp;" ")&lt;58)*(1-(CODE(MID(" "&amp;SUBSTITUTE(SUBSTITUTE(FORMULATEXT('Work 3'!C14),"$",""),"Work ","Work"),ROW($Z$1:$Z$700),1)&amp;" ")&gt;47)*(CODE(MID(" "&amp;SUBSTITUTE(SUBSTITUTE(FORMULATEXT('Work 3'!C14),"$",""),"Work ","Work"),ROW($Z$1:$Z$700),1)&amp;" ")&lt;58))*EXACT(UPPER(MID(" "&amp;SUBSTITUTE(SUBSTITUTE(FORMULATEXT('Work 3'!C14),"$",""),"Work ","Work"),ROW($Z$1:$Z$700),1)),LOWER(MID(" "&amp;SUBSTITUTE(SUBSTITUTE(FORMULATEXT('Work 3'!C14),"$",""),"Work ","Work"),ROW($Z$1:$Z$700),1)))*(MID(" "&amp;SUBSTITUTE(SUBSTITUTE(FORMULATEXT('Work 3'!C14),"$",""),"Work ","Work"),ROW($Z$1:$Z$700),1)&lt;&gt;".")*(1-(CODE(MID(SUBSTITUTE(SUBSTITUTE(FORMULATEXT('Work 3'!C14),"$",""),"Work ","Work"),ROW($Z$1:$Z$700),1)&amp;" ")&gt;47)*(CODE(MID(SUBSTITUTE(SUBSTITUTE(FORMULATEXT('Work 3'!C14),"$",""),"Work ","Work"),ROW($Z$1:$Z$700),1)&amp;" ")&lt;51)*(1-(CODE(MID(SUBSTITUTE(SUBSTITUTE(FORMULATEXT('Work 3'!C14),"$",""),"Work ","Work")&amp;" ",ROW($Z$1:$Z$700)+1,1)&amp;" ")&gt;47)*(CODE(MID(SUBSTITUTE(SUBSTITUTE(FORMULATEXT('Work 3'!C14),"$",""),"Work ","Work")&amp;" ",ROW($Z$1:$Z$700)+1,1)&amp;" ")&lt;58))*(MID(SUBSTITUTE(SUBSTITUTE(FORMULATEXT('Work 3'!C14),"$",""),"Work ","Work")&amp;" ",ROW($Z$1:$Z$700)+1,1)&lt;&gt;"."))*(1-(MID(SUBSTITUTE(SUBSTITUTE(FORMULATEXT('Work 3'!C14),"$",""),"Work ","Work"),ROW($Z$1:$Z$700),4)="1000")*(1-(CODE(MID(SUBSTITUTE(SUBSTITUTE(FORMULATEXT('Work 3'!C14),"$",""),"Work ","Work")&amp;"     ",ROW($Z$1:$Z$700)+4,1)&amp;" ")&gt;47)*(CODE(MID(SUBSTITUTE(SUBSTITUTE(FORMULATEXT('Work 3'!C14),"$",""),"Work ","Work")&amp;"     ",ROW($Z$1:$Z$700)+4,1)&amp;" ")&lt;58))*(MID(SUBSTITUTE(SUBSTITUTE(FORMULATEXT('Work 3'!C14),"$",""),"Work ","Work")&amp;"     ",ROW($Z$1:$Z$700)+4,1)&lt;&gt;"."))),0)</f>
        <v/>
      </c>
    </row>
    <row r="26" ht="16.5" customHeight="1" s="54">
      <c r="A26" s="4" t="n">
        <v>22</v>
      </c>
      <c r="B26" s="9" t="inlineStr">
        <is>
          <t>Work 2: a treatment is chosen for all seven lines.</t>
        </is>
      </c>
      <c r="C26" s="53">
        <f>IF(COUNTA('Work 2'!C6:C12)=7,"OK","CHECK")</f>
        <v/>
      </c>
      <c r="G26" s="3" t="inlineStr">
        <is>
          <t>Work 3!C15</t>
        </is>
      </c>
      <c r="H26" s="3">
        <f>--NOT(ISNA(FORMULATEXT('Work 3'!C15)))</f>
        <v/>
      </c>
      <c r="I26" s="3">
        <f>IFERROR(SUMPRODUCT((CODE(MID(SUBSTITUTE(SUBSTITUTE(FORMULATEXT('Work 3'!C15),"$",""),"Work ","Work"),ROW($Z$1:$Z$700),1)&amp;" ")&gt;47)*(CODE(MID(SUBSTITUTE(SUBSTITUTE(FORMULATEXT('Work 3'!C15),"$",""),"Work ","Work"),ROW($Z$1:$Z$700),1)&amp;" ")&lt;58)*(1-(CODE(MID(" "&amp;SUBSTITUTE(SUBSTITUTE(FORMULATEXT('Work 3'!C15),"$",""),"Work ","Work"),ROW($Z$1:$Z$700),1)&amp;" ")&gt;47)*(CODE(MID(" "&amp;SUBSTITUTE(SUBSTITUTE(FORMULATEXT('Work 3'!C15),"$",""),"Work ","Work"),ROW($Z$1:$Z$700),1)&amp;" ")&lt;58))*EXACT(UPPER(MID(" "&amp;SUBSTITUTE(SUBSTITUTE(FORMULATEXT('Work 3'!C15),"$",""),"Work ","Work"),ROW($Z$1:$Z$700),1)),LOWER(MID(" "&amp;SUBSTITUTE(SUBSTITUTE(FORMULATEXT('Work 3'!C15),"$",""),"Work ","Work"),ROW($Z$1:$Z$700),1)))*(MID(" "&amp;SUBSTITUTE(SUBSTITUTE(FORMULATEXT('Work 3'!C15),"$",""),"Work ","Work"),ROW($Z$1:$Z$700),1)&lt;&gt;".")*(1-(CODE(MID(SUBSTITUTE(SUBSTITUTE(FORMULATEXT('Work 3'!C15),"$",""),"Work ","Work"),ROW($Z$1:$Z$700),1)&amp;" ")&gt;47)*(CODE(MID(SUBSTITUTE(SUBSTITUTE(FORMULATEXT('Work 3'!C15),"$",""),"Work ","Work"),ROW($Z$1:$Z$700),1)&amp;" ")&lt;51)*(1-(CODE(MID(SUBSTITUTE(SUBSTITUTE(FORMULATEXT('Work 3'!C15),"$",""),"Work ","Work")&amp;" ",ROW($Z$1:$Z$700)+1,1)&amp;" ")&gt;47)*(CODE(MID(SUBSTITUTE(SUBSTITUTE(FORMULATEXT('Work 3'!C15),"$",""),"Work ","Work")&amp;" ",ROW($Z$1:$Z$700)+1,1)&amp;" ")&lt;58))*(MID(SUBSTITUTE(SUBSTITUTE(FORMULATEXT('Work 3'!C15),"$",""),"Work ","Work")&amp;" ",ROW($Z$1:$Z$700)+1,1)&lt;&gt;"."))*(1-(MID(SUBSTITUTE(SUBSTITUTE(FORMULATEXT('Work 3'!C15),"$",""),"Work ","Work"),ROW($Z$1:$Z$700),4)="1000")*(1-(CODE(MID(SUBSTITUTE(SUBSTITUTE(FORMULATEXT('Work 3'!C15),"$",""),"Work ","Work")&amp;"     ",ROW($Z$1:$Z$700)+4,1)&amp;" ")&gt;47)*(CODE(MID(SUBSTITUTE(SUBSTITUTE(FORMULATEXT('Work 3'!C15),"$",""),"Work ","Work")&amp;"     ",ROW($Z$1:$Z$700)+4,1)&amp;" ")&lt;58))*(MID(SUBSTITUTE(SUBSTITUTE(FORMULATEXT('Work 3'!C15),"$",""),"Work ","Work")&amp;"     ",ROW($Z$1:$Z$700)+4,1)&lt;&gt;"."))),0)</f>
        <v/>
      </c>
    </row>
    <row r="27" ht="16.5" customHeight="1" s="54">
      <c r="A27" s="4" t="n">
        <v>23</v>
      </c>
      <c r="B27" s="9" t="inlineStr">
        <is>
          <t>Work 2: a reason is written for all seven lines (at least 25 characters each).</t>
        </is>
      </c>
      <c r="C27" s="53">
        <f>IF(SUMPRODUCT(--(LEN('Work 2'!E6:E12)&gt;=25))=7,"OK","CHECK")</f>
        <v/>
      </c>
      <c r="G27" s="3" t="inlineStr">
        <is>
          <t>Work 3!C16</t>
        </is>
      </c>
      <c r="H27" s="3">
        <f>--NOT(ISNA(FORMULATEXT('Work 3'!C16)))</f>
        <v/>
      </c>
      <c r="I27" s="3">
        <f>IFERROR(SUMPRODUCT((CODE(MID(SUBSTITUTE(SUBSTITUTE(FORMULATEXT('Work 3'!C16),"$",""),"Work ","Work"),ROW($Z$1:$Z$700),1)&amp;" ")&gt;47)*(CODE(MID(SUBSTITUTE(SUBSTITUTE(FORMULATEXT('Work 3'!C16),"$",""),"Work ","Work"),ROW($Z$1:$Z$700),1)&amp;" ")&lt;58)*(1-(CODE(MID(" "&amp;SUBSTITUTE(SUBSTITUTE(FORMULATEXT('Work 3'!C16),"$",""),"Work ","Work"),ROW($Z$1:$Z$700),1)&amp;" ")&gt;47)*(CODE(MID(" "&amp;SUBSTITUTE(SUBSTITUTE(FORMULATEXT('Work 3'!C16),"$",""),"Work ","Work"),ROW($Z$1:$Z$700),1)&amp;" ")&lt;58))*EXACT(UPPER(MID(" "&amp;SUBSTITUTE(SUBSTITUTE(FORMULATEXT('Work 3'!C16),"$",""),"Work ","Work"),ROW($Z$1:$Z$700),1)),LOWER(MID(" "&amp;SUBSTITUTE(SUBSTITUTE(FORMULATEXT('Work 3'!C16),"$",""),"Work ","Work"),ROW($Z$1:$Z$700),1)))*(MID(" "&amp;SUBSTITUTE(SUBSTITUTE(FORMULATEXT('Work 3'!C16),"$",""),"Work ","Work"),ROW($Z$1:$Z$700),1)&lt;&gt;".")*(1-(CODE(MID(SUBSTITUTE(SUBSTITUTE(FORMULATEXT('Work 3'!C16),"$",""),"Work ","Work"),ROW($Z$1:$Z$700),1)&amp;" ")&gt;47)*(CODE(MID(SUBSTITUTE(SUBSTITUTE(FORMULATEXT('Work 3'!C16),"$",""),"Work ","Work"),ROW($Z$1:$Z$700),1)&amp;" ")&lt;51)*(1-(CODE(MID(SUBSTITUTE(SUBSTITUTE(FORMULATEXT('Work 3'!C16),"$",""),"Work ","Work")&amp;" ",ROW($Z$1:$Z$700)+1,1)&amp;" ")&gt;47)*(CODE(MID(SUBSTITUTE(SUBSTITUTE(FORMULATEXT('Work 3'!C16),"$",""),"Work ","Work")&amp;" ",ROW($Z$1:$Z$700)+1,1)&amp;" ")&lt;58))*(MID(SUBSTITUTE(SUBSTITUTE(FORMULATEXT('Work 3'!C16),"$",""),"Work ","Work")&amp;" ",ROW($Z$1:$Z$700)+1,1)&lt;&gt;"."))*(1-(MID(SUBSTITUTE(SUBSTITUTE(FORMULATEXT('Work 3'!C16),"$",""),"Work ","Work"),ROW($Z$1:$Z$700),4)="1000")*(1-(CODE(MID(SUBSTITUTE(SUBSTITUTE(FORMULATEXT('Work 3'!C16),"$",""),"Work ","Work")&amp;"     ",ROW($Z$1:$Z$700)+4,1)&amp;" ")&gt;47)*(CODE(MID(SUBSTITUTE(SUBSTITUTE(FORMULATEXT('Work 3'!C16),"$",""),"Work ","Work")&amp;"     ",ROW($Z$1:$Z$700)+4,1)&amp;" ")&lt;58))*(MID(SUBSTITUTE(SUBSTITUTE(FORMULATEXT('Work 3'!C16),"$",""),"Work ","Work")&amp;"     ",ROW($Z$1:$Z$700)+4,1)&lt;&gt;"."))),0)</f>
        <v/>
      </c>
    </row>
    <row r="28" ht="16.5" customHeight="1" s="54">
      <c r="A28" s="4" t="n">
        <v>24</v>
      </c>
      <c r="B28" s="9" t="inlineStr">
        <is>
          <t>Work 3: total sources equal total uses.</t>
        </is>
      </c>
      <c r="C28" s="53">
        <f>IF(AND('Work 3'!C55&gt;0,ABS('Work 3'!C59-'Work 3'!C55)&lt;0.001),"OK","CHECK")</f>
        <v/>
      </c>
      <c r="G28" s="3" t="inlineStr">
        <is>
          <t>Work 3!C17</t>
        </is>
      </c>
      <c r="H28" s="3">
        <f>--NOT(ISNA(FORMULATEXT('Work 3'!C17)))</f>
        <v/>
      </c>
      <c r="I28" s="3">
        <f>IFERROR(SUMPRODUCT((CODE(MID(SUBSTITUTE(SUBSTITUTE(FORMULATEXT('Work 3'!C17),"$",""),"Work ","Work"),ROW($Z$1:$Z$700),1)&amp;" ")&gt;47)*(CODE(MID(SUBSTITUTE(SUBSTITUTE(FORMULATEXT('Work 3'!C17),"$",""),"Work ","Work"),ROW($Z$1:$Z$700),1)&amp;" ")&lt;58)*(1-(CODE(MID(" "&amp;SUBSTITUTE(SUBSTITUTE(FORMULATEXT('Work 3'!C17),"$",""),"Work ","Work"),ROW($Z$1:$Z$700),1)&amp;" ")&gt;47)*(CODE(MID(" "&amp;SUBSTITUTE(SUBSTITUTE(FORMULATEXT('Work 3'!C17),"$",""),"Work ","Work"),ROW($Z$1:$Z$700),1)&amp;" ")&lt;58))*EXACT(UPPER(MID(" "&amp;SUBSTITUTE(SUBSTITUTE(FORMULATEXT('Work 3'!C17),"$",""),"Work ","Work"),ROW($Z$1:$Z$700),1)),LOWER(MID(" "&amp;SUBSTITUTE(SUBSTITUTE(FORMULATEXT('Work 3'!C17),"$",""),"Work ","Work"),ROW($Z$1:$Z$700),1)))*(MID(" "&amp;SUBSTITUTE(SUBSTITUTE(FORMULATEXT('Work 3'!C17),"$",""),"Work ","Work"),ROW($Z$1:$Z$700),1)&lt;&gt;".")*(1-(CODE(MID(SUBSTITUTE(SUBSTITUTE(FORMULATEXT('Work 3'!C17),"$",""),"Work ","Work"),ROW($Z$1:$Z$700),1)&amp;" ")&gt;47)*(CODE(MID(SUBSTITUTE(SUBSTITUTE(FORMULATEXT('Work 3'!C17),"$",""),"Work ","Work"),ROW($Z$1:$Z$700),1)&amp;" ")&lt;51)*(1-(CODE(MID(SUBSTITUTE(SUBSTITUTE(FORMULATEXT('Work 3'!C17),"$",""),"Work ","Work")&amp;" ",ROW($Z$1:$Z$700)+1,1)&amp;" ")&gt;47)*(CODE(MID(SUBSTITUTE(SUBSTITUTE(FORMULATEXT('Work 3'!C17),"$",""),"Work ","Work")&amp;" ",ROW($Z$1:$Z$700)+1,1)&amp;" ")&lt;58))*(MID(SUBSTITUTE(SUBSTITUTE(FORMULATEXT('Work 3'!C17),"$",""),"Work ","Work")&amp;" ",ROW($Z$1:$Z$700)+1,1)&lt;&gt;"."))*(1-(MID(SUBSTITUTE(SUBSTITUTE(FORMULATEXT('Work 3'!C17),"$",""),"Work ","Work"),ROW($Z$1:$Z$700),4)="1000")*(1-(CODE(MID(SUBSTITUTE(SUBSTITUTE(FORMULATEXT('Work 3'!C17),"$",""),"Work ","Work")&amp;"     ",ROW($Z$1:$Z$700)+4,1)&amp;" ")&gt;47)*(CODE(MID(SUBSTITUTE(SUBSTITUTE(FORMULATEXT('Work 3'!C17),"$",""),"Work ","Work")&amp;"     ",ROW($Z$1:$Z$700)+4,1)&amp;" ")&lt;58))*(MID(SUBSTITUTE(SUBSTITUTE(FORMULATEXT('Work 3'!C17),"$",""),"Work ","Work")&amp;"     ",ROW($Z$1:$Z$700)+4,1)&lt;&gt;"."))),0)</f>
        <v/>
      </c>
    </row>
    <row r="29" ht="16.5" customHeight="1" s="54">
      <c r="A29" s="4" t="n">
        <v>25</v>
      </c>
      <c r="B29" s="9" t="inlineStr">
        <is>
          <t>Work 3: term loan B never goes below zero, in either case.</t>
        </is>
      </c>
      <c r="C29" s="53">
        <f>IF(AND(COUNT('Work 3'!E72:J72)=6,MIN('Work 3'!E72:J72,'Work 3'!E101:J101)&gt;=-0.001),"OK","CHECK")</f>
        <v/>
      </c>
      <c r="G29" s="3" t="inlineStr">
        <is>
          <t>Work 3!C18</t>
        </is>
      </c>
      <c r="H29" s="3">
        <f>--NOT(ISNA(FORMULATEXT('Work 3'!C18)))</f>
        <v/>
      </c>
      <c r="I29" s="3">
        <f>IFERROR(SUMPRODUCT((CODE(MID(SUBSTITUTE(SUBSTITUTE(FORMULATEXT('Work 3'!C18),"$",""),"Work ","Work"),ROW($Z$1:$Z$700),1)&amp;" ")&gt;47)*(CODE(MID(SUBSTITUTE(SUBSTITUTE(FORMULATEXT('Work 3'!C18),"$",""),"Work ","Work"),ROW($Z$1:$Z$700),1)&amp;" ")&lt;58)*(1-(CODE(MID(" "&amp;SUBSTITUTE(SUBSTITUTE(FORMULATEXT('Work 3'!C18),"$",""),"Work ","Work"),ROW($Z$1:$Z$700),1)&amp;" ")&gt;47)*(CODE(MID(" "&amp;SUBSTITUTE(SUBSTITUTE(FORMULATEXT('Work 3'!C18),"$",""),"Work ","Work"),ROW($Z$1:$Z$700),1)&amp;" ")&lt;58))*EXACT(UPPER(MID(" "&amp;SUBSTITUTE(SUBSTITUTE(FORMULATEXT('Work 3'!C18),"$",""),"Work ","Work"),ROW($Z$1:$Z$700),1)),LOWER(MID(" "&amp;SUBSTITUTE(SUBSTITUTE(FORMULATEXT('Work 3'!C18),"$",""),"Work ","Work"),ROW($Z$1:$Z$700),1)))*(MID(" "&amp;SUBSTITUTE(SUBSTITUTE(FORMULATEXT('Work 3'!C18),"$",""),"Work ","Work"),ROW($Z$1:$Z$700),1)&lt;&gt;".")*(1-(CODE(MID(SUBSTITUTE(SUBSTITUTE(FORMULATEXT('Work 3'!C18),"$",""),"Work ","Work"),ROW($Z$1:$Z$700),1)&amp;" ")&gt;47)*(CODE(MID(SUBSTITUTE(SUBSTITUTE(FORMULATEXT('Work 3'!C18),"$",""),"Work ","Work"),ROW($Z$1:$Z$700),1)&amp;" ")&lt;51)*(1-(CODE(MID(SUBSTITUTE(SUBSTITUTE(FORMULATEXT('Work 3'!C18),"$",""),"Work ","Work")&amp;" ",ROW($Z$1:$Z$700)+1,1)&amp;" ")&gt;47)*(CODE(MID(SUBSTITUTE(SUBSTITUTE(FORMULATEXT('Work 3'!C18),"$",""),"Work ","Work")&amp;" ",ROW($Z$1:$Z$700)+1,1)&amp;" ")&lt;58))*(MID(SUBSTITUTE(SUBSTITUTE(FORMULATEXT('Work 3'!C18),"$",""),"Work ","Work")&amp;" ",ROW($Z$1:$Z$700)+1,1)&lt;&gt;"."))*(1-(MID(SUBSTITUTE(SUBSTITUTE(FORMULATEXT('Work 3'!C18),"$",""),"Work ","Work"),ROW($Z$1:$Z$700),4)="1000")*(1-(CODE(MID(SUBSTITUTE(SUBSTITUTE(FORMULATEXT('Work 3'!C18),"$",""),"Work ","Work")&amp;"     ",ROW($Z$1:$Z$700)+4,1)&amp;" ")&gt;47)*(CODE(MID(SUBSTITUTE(SUBSTITUTE(FORMULATEXT('Work 3'!C18),"$",""),"Work ","Work")&amp;"     ",ROW($Z$1:$Z$700)+4,1)&amp;" ")&lt;58))*(MID(SUBSTITUTE(SUBSTITUTE(FORMULATEXT('Work 3'!C18),"$",""),"Work ","Work")&amp;"     ",ROW($Z$1:$Z$700)+4,1)&lt;&gt;"."))),0)</f>
        <v/>
      </c>
    </row>
    <row r="30" ht="16.5" customHeight="1" s="54">
      <c r="A30" s="4" t="n">
        <v>26</v>
      </c>
      <c r="B30" s="9" t="inlineStr">
        <is>
          <t>Work 3: cash never falls below the minimum, in either case.</t>
        </is>
      </c>
      <c r="C30" s="53">
        <f>IF(AND(COUNT('Work 3'!E79:J79)=6,MIN('Work 3'!E79:J79,'Work 3'!E108:J108)&gt;='Work 3'!C37-0.001),"OK","CHECK")</f>
        <v/>
      </c>
      <c r="G30" s="3" t="inlineStr">
        <is>
          <t>Work 3!C19</t>
        </is>
      </c>
      <c r="H30" s="3">
        <f>--NOT(ISNA(FORMULATEXT('Work 3'!C19)))</f>
        <v/>
      </c>
      <c r="I30" s="3">
        <f>IFERROR(SUMPRODUCT((CODE(MID(SUBSTITUTE(SUBSTITUTE(FORMULATEXT('Work 3'!C19),"$",""),"Work ","Work"),ROW($Z$1:$Z$700),1)&amp;" ")&gt;47)*(CODE(MID(SUBSTITUTE(SUBSTITUTE(FORMULATEXT('Work 3'!C19),"$",""),"Work ","Work"),ROW($Z$1:$Z$700),1)&amp;" ")&lt;58)*(1-(CODE(MID(" "&amp;SUBSTITUTE(SUBSTITUTE(FORMULATEXT('Work 3'!C19),"$",""),"Work ","Work"),ROW($Z$1:$Z$700),1)&amp;" ")&gt;47)*(CODE(MID(" "&amp;SUBSTITUTE(SUBSTITUTE(FORMULATEXT('Work 3'!C19),"$",""),"Work ","Work"),ROW($Z$1:$Z$700),1)&amp;" ")&lt;58))*EXACT(UPPER(MID(" "&amp;SUBSTITUTE(SUBSTITUTE(FORMULATEXT('Work 3'!C19),"$",""),"Work ","Work"),ROW($Z$1:$Z$700),1)),LOWER(MID(" "&amp;SUBSTITUTE(SUBSTITUTE(FORMULATEXT('Work 3'!C19),"$",""),"Work ","Work"),ROW($Z$1:$Z$700),1)))*(MID(" "&amp;SUBSTITUTE(SUBSTITUTE(FORMULATEXT('Work 3'!C19),"$",""),"Work ","Work"),ROW($Z$1:$Z$700),1)&lt;&gt;".")*(1-(CODE(MID(SUBSTITUTE(SUBSTITUTE(FORMULATEXT('Work 3'!C19),"$",""),"Work ","Work"),ROW($Z$1:$Z$700),1)&amp;" ")&gt;47)*(CODE(MID(SUBSTITUTE(SUBSTITUTE(FORMULATEXT('Work 3'!C19),"$",""),"Work ","Work"),ROW($Z$1:$Z$700),1)&amp;" ")&lt;51)*(1-(CODE(MID(SUBSTITUTE(SUBSTITUTE(FORMULATEXT('Work 3'!C19),"$",""),"Work ","Work")&amp;" ",ROW($Z$1:$Z$700)+1,1)&amp;" ")&gt;47)*(CODE(MID(SUBSTITUTE(SUBSTITUTE(FORMULATEXT('Work 3'!C19),"$",""),"Work ","Work")&amp;" ",ROW($Z$1:$Z$700)+1,1)&amp;" ")&lt;58))*(MID(SUBSTITUTE(SUBSTITUTE(FORMULATEXT('Work 3'!C19),"$",""),"Work ","Work")&amp;" ",ROW($Z$1:$Z$700)+1,1)&lt;&gt;"."))*(1-(MID(SUBSTITUTE(SUBSTITUTE(FORMULATEXT('Work 3'!C19),"$",""),"Work ","Work"),ROW($Z$1:$Z$700),4)="1000")*(1-(CODE(MID(SUBSTITUTE(SUBSTITUTE(FORMULATEXT('Work 3'!C19),"$",""),"Work ","Work")&amp;"     ",ROW($Z$1:$Z$700)+4,1)&amp;" ")&gt;47)*(CODE(MID(SUBSTITUTE(SUBSTITUTE(FORMULATEXT('Work 3'!C19),"$",""),"Work ","Work")&amp;"     ",ROW($Z$1:$Z$700)+4,1)&amp;" ")&lt;58))*(MID(SUBSTITUTE(SUBSTITUTE(FORMULATEXT('Work 3'!C19),"$",""),"Work ","Work")&amp;"     ",ROW($Z$1:$Z$700)+4,1)&lt;&gt;"."))),0)</f>
        <v/>
      </c>
    </row>
    <row r="31" ht="16.5" customHeight="1" s="54">
      <c r="A31" s="4" t="n">
        <v>27</v>
      </c>
      <c r="B31" s="9" t="inlineStr">
        <is>
          <t>Work 3: the Data Table is built with What-If Analysis.</t>
        </is>
      </c>
      <c r="C31" s="53">
        <f>IF(ISNUMBER(SEARCH("TABLE(",FORMULATEXT('Work 3'!E124))),"OK","CHECK")</f>
        <v/>
      </c>
      <c r="G31" s="3" t="inlineStr">
        <is>
          <t>Work 3!C20</t>
        </is>
      </c>
      <c r="H31" s="3">
        <f>--NOT(ISNA(FORMULATEXT('Work 3'!C20)))</f>
        <v/>
      </c>
      <c r="I31" s="3">
        <f>IFERROR(SUMPRODUCT((CODE(MID(SUBSTITUTE(SUBSTITUTE(FORMULATEXT('Work 3'!C20),"$",""),"Work ","Work"),ROW($Z$1:$Z$700),1)&amp;" ")&gt;47)*(CODE(MID(SUBSTITUTE(SUBSTITUTE(FORMULATEXT('Work 3'!C20),"$",""),"Work ","Work"),ROW($Z$1:$Z$700),1)&amp;" ")&lt;58)*(1-(CODE(MID(" "&amp;SUBSTITUTE(SUBSTITUTE(FORMULATEXT('Work 3'!C20),"$",""),"Work ","Work"),ROW($Z$1:$Z$700),1)&amp;" ")&gt;47)*(CODE(MID(" "&amp;SUBSTITUTE(SUBSTITUTE(FORMULATEXT('Work 3'!C20),"$",""),"Work ","Work"),ROW($Z$1:$Z$700),1)&amp;" ")&lt;58))*EXACT(UPPER(MID(" "&amp;SUBSTITUTE(SUBSTITUTE(FORMULATEXT('Work 3'!C20),"$",""),"Work ","Work"),ROW($Z$1:$Z$700),1)),LOWER(MID(" "&amp;SUBSTITUTE(SUBSTITUTE(FORMULATEXT('Work 3'!C20),"$",""),"Work ","Work"),ROW($Z$1:$Z$700),1)))*(MID(" "&amp;SUBSTITUTE(SUBSTITUTE(FORMULATEXT('Work 3'!C20),"$",""),"Work ","Work"),ROW($Z$1:$Z$700),1)&lt;&gt;".")*(1-(CODE(MID(SUBSTITUTE(SUBSTITUTE(FORMULATEXT('Work 3'!C20),"$",""),"Work ","Work"),ROW($Z$1:$Z$700),1)&amp;" ")&gt;47)*(CODE(MID(SUBSTITUTE(SUBSTITUTE(FORMULATEXT('Work 3'!C20),"$",""),"Work ","Work"),ROW($Z$1:$Z$700),1)&amp;" ")&lt;51)*(1-(CODE(MID(SUBSTITUTE(SUBSTITUTE(FORMULATEXT('Work 3'!C20),"$",""),"Work ","Work")&amp;" ",ROW($Z$1:$Z$700)+1,1)&amp;" ")&gt;47)*(CODE(MID(SUBSTITUTE(SUBSTITUTE(FORMULATEXT('Work 3'!C20),"$",""),"Work ","Work")&amp;" ",ROW($Z$1:$Z$700)+1,1)&amp;" ")&lt;58))*(MID(SUBSTITUTE(SUBSTITUTE(FORMULATEXT('Work 3'!C20),"$",""),"Work ","Work")&amp;" ",ROW($Z$1:$Z$700)+1,1)&lt;&gt;"."))*(1-(MID(SUBSTITUTE(SUBSTITUTE(FORMULATEXT('Work 3'!C20),"$",""),"Work ","Work"),ROW($Z$1:$Z$700),4)="1000")*(1-(CODE(MID(SUBSTITUTE(SUBSTITUTE(FORMULATEXT('Work 3'!C20),"$",""),"Work ","Work")&amp;"     ",ROW($Z$1:$Z$700)+4,1)&amp;" ")&gt;47)*(CODE(MID(SUBSTITUTE(SUBSTITUTE(FORMULATEXT('Work 3'!C20),"$",""),"Work ","Work")&amp;"     ",ROW($Z$1:$Z$700)+4,1)&amp;" ")&lt;58))*(MID(SUBSTITUTE(SUBSTITUTE(FORMULATEXT('Work 3'!C20),"$",""),"Work ","Work")&amp;"     ",ROW($Z$1:$Z$700)+4,1)&lt;&gt;"."))),0)</f>
        <v/>
      </c>
    </row>
    <row r="32" ht="16.5" customHeight="1" s="54">
      <c r="A32" s="4" t="n">
        <v>28</v>
      </c>
      <c r="B32" s="9" t="inlineStr">
        <is>
          <t>Work 6: the cross-asset call is chosen.</t>
        </is>
      </c>
      <c r="C32" s="53">
        <f>IF(COUNTA(Q_87)=1,"OK","CHECK")</f>
        <v/>
      </c>
      <c r="G32" s="3" t="inlineStr">
        <is>
          <t>Work 4!C5</t>
        </is>
      </c>
      <c r="H32" s="3">
        <f>--NOT(ISNA(FORMULATEXT('Work 4'!C5)))</f>
        <v/>
      </c>
      <c r="I32" s="3">
        <f>IFERROR(SUMPRODUCT((CODE(MID(SUBSTITUTE(SUBSTITUTE(FORMULATEXT('Work 4'!C5),"$",""),"Work ","Work"),ROW($Z$1:$Z$700),1)&amp;" ")&gt;47)*(CODE(MID(SUBSTITUTE(SUBSTITUTE(FORMULATEXT('Work 4'!C5),"$",""),"Work ","Work"),ROW($Z$1:$Z$700),1)&amp;" ")&lt;58)*(1-(CODE(MID(" "&amp;SUBSTITUTE(SUBSTITUTE(FORMULATEXT('Work 4'!C5),"$",""),"Work ","Work"),ROW($Z$1:$Z$700),1)&amp;" ")&gt;47)*(CODE(MID(" "&amp;SUBSTITUTE(SUBSTITUTE(FORMULATEXT('Work 4'!C5),"$",""),"Work ","Work"),ROW($Z$1:$Z$700),1)&amp;" ")&lt;58))*EXACT(UPPER(MID(" "&amp;SUBSTITUTE(SUBSTITUTE(FORMULATEXT('Work 4'!C5),"$",""),"Work ","Work"),ROW($Z$1:$Z$700),1)),LOWER(MID(" "&amp;SUBSTITUTE(SUBSTITUTE(FORMULATEXT('Work 4'!C5),"$",""),"Work ","Work"),ROW($Z$1:$Z$700),1)))*(MID(" "&amp;SUBSTITUTE(SUBSTITUTE(FORMULATEXT('Work 4'!C5),"$",""),"Work ","Work"),ROW($Z$1:$Z$700),1)&lt;&gt;".")*(1-(CODE(MID(SUBSTITUTE(SUBSTITUTE(FORMULATEXT('Work 4'!C5),"$",""),"Work ","Work"),ROW($Z$1:$Z$700),1)&amp;" ")&gt;47)*(CODE(MID(SUBSTITUTE(SUBSTITUTE(FORMULATEXT('Work 4'!C5),"$",""),"Work ","Work"),ROW($Z$1:$Z$700),1)&amp;" ")&lt;51)*(1-(CODE(MID(SUBSTITUTE(SUBSTITUTE(FORMULATEXT('Work 4'!C5),"$",""),"Work ","Work")&amp;" ",ROW($Z$1:$Z$700)+1,1)&amp;" ")&gt;47)*(CODE(MID(SUBSTITUTE(SUBSTITUTE(FORMULATEXT('Work 4'!C5),"$",""),"Work ","Work")&amp;" ",ROW($Z$1:$Z$700)+1,1)&amp;" ")&lt;58))*(MID(SUBSTITUTE(SUBSTITUTE(FORMULATEXT('Work 4'!C5),"$",""),"Work ","Work")&amp;" ",ROW($Z$1:$Z$700)+1,1)&lt;&gt;"."))*(1-(MID(SUBSTITUTE(SUBSTITUTE(FORMULATEXT('Work 4'!C5),"$",""),"Work ","Work"),ROW($Z$1:$Z$700),4)="1000")*(1-(CODE(MID(SUBSTITUTE(SUBSTITUTE(FORMULATEXT('Work 4'!C5),"$",""),"Work ","Work")&amp;"     ",ROW($Z$1:$Z$700)+4,1)&amp;" ")&gt;47)*(CODE(MID(SUBSTITUTE(SUBSTITUTE(FORMULATEXT('Work 4'!C5),"$",""),"Work ","Work")&amp;"     ",ROW($Z$1:$Z$700)+4,1)&amp;" ")&lt;58))*(MID(SUBSTITUTE(SUBSTITUTE(FORMULATEXT('Work 4'!C5),"$",""),"Work ","Work")&amp;"     ",ROW($Z$1:$Z$700)+4,1)&lt;&gt;"."))),0)</f>
        <v/>
      </c>
    </row>
    <row r="33" ht="16.5" customHeight="1" s="54">
      <c r="A33" s="4" t="n">
        <v>29</v>
      </c>
      <c r="B33" s="9" t="inlineStr">
        <is>
          <t>Work 7: a finding is chosen for all 12 lines.</t>
        </is>
      </c>
      <c r="C33" s="53">
        <f>IF(COUNTA('Work 7'!D44:D55)=12,"OK","CHECK")</f>
        <v/>
      </c>
      <c r="G33" s="3" t="inlineStr">
        <is>
          <t>Work 4!C6</t>
        </is>
      </c>
      <c r="H33" s="3">
        <f>--NOT(ISNA(FORMULATEXT('Work 4'!C6)))</f>
        <v/>
      </c>
      <c r="I33" s="3">
        <f>IFERROR(SUMPRODUCT((CODE(MID(SUBSTITUTE(SUBSTITUTE(FORMULATEXT('Work 4'!C6),"$",""),"Work ","Work"),ROW($Z$1:$Z$700),1)&amp;" ")&gt;47)*(CODE(MID(SUBSTITUTE(SUBSTITUTE(FORMULATEXT('Work 4'!C6),"$",""),"Work ","Work"),ROW($Z$1:$Z$700),1)&amp;" ")&lt;58)*(1-(CODE(MID(" "&amp;SUBSTITUTE(SUBSTITUTE(FORMULATEXT('Work 4'!C6),"$",""),"Work ","Work"),ROW($Z$1:$Z$700),1)&amp;" ")&gt;47)*(CODE(MID(" "&amp;SUBSTITUTE(SUBSTITUTE(FORMULATEXT('Work 4'!C6),"$",""),"Work ","Work"),ROW($Z$1:$Z$700),1)&amp;" ")&lt;58))*EXACT(UPPER(MID(" "&amp;SUBSTITUTE(SUBSTITUTE(FORMULATEXT('Work 4'!C6),"$",""),"Work ","Work"),ROW($Z$1:$Z$700),1)),LOWER(MID(" "&amp;SUBSTITUTE(SUBSTITUTE(FORMULATEXT('Work 4'!C6),"$",""),"Work ","Work"),ROW($Z$1:$Z$700),1)))*(MID(" "&amp;SUBSTITUTE(SUBSTITUTE(FORMULATEXT('Work 4'!C6),"$",""),"Work ","Work"),ROW($Z$1:$Z$700),1)&lt;&gt;".")*(1-(CODE(MID(SUBSTITUTE(SUBSTITUTE(FORMULATEXT('Work 4'!C6),"$",""),"Work ","Work"),ROW($Z$1:$Z$700),1)&amp;" ")&gt;47)*(CODE(MID(SUBSTITUTE(SUBSTITUTE(FORMULATEXT('Work 4'!C6),"$",""),"Work ","Work"),ROW($Z$1:$Z$700),1)&amp;" ")&lt;51)*(1-(CODE(MID(SUBSTITUTE(SUBSTITUTE(FORMULATEXT('Work 4'!C6),"$",""),"Work ","Work")&amp;" ",ROW($Z$1:$Z$700)+1,1)&amp;" ")&gt;47)*(CODE(MID(SUBSTITUTE(SUBSTITUTE(FORMULATEXT('Work 4'!C6),"$",""),"Work ","Work")&amp;" ",ROW($Z$1:$Z$700)+1,1)&amp;" ")&lt;58))*(MID(SUBSTITUTE(SUBSTITUTE(FORMULATEXT('Work 4'!C6),"$",""),"Work ","Work")&amp;" ",ROW($Z$1:$Z$700)+1,1)&lt;&gt;"."))*(1-(MID(SUBSTITUTE(SUBSTITUTE(FORMULATEXT('Work 4'!C6),"$",""),"Work ","Work"),ROW($Z$1:$Z$700),4)="1000")*(1-(CODE(MID(SUBSTITUTE(SUBSTITUTE(FORMULATEXT('Work 4'!C6),"$",""),"Work ","Work")&amp;"     ",ROW($Z$1:$Z$700)+4,1)&amp;" ")&gt;47)*(CODE(MID(SUBSTITUTE(SUBSTITUTE(FORMULATEXT('Work 4'!C6),"$",""),"Work ","Work")&amp;"     ",ROW($Z$1:$Z$700)+4,1)&amp;" ")&lt;58))*(MID(SUBSTITUTE(SUBSTITUTE(FORMULATEXT('Work 4'!C6),"$",""),"Work ","Work")&amp;"     ",ROW($Z$1:$Z$700)+4,1)&lt;&gt;"."))),0)</f>
        <v/>
      </c>
    </row>
    <row r="34" ht="16.5" customHeight="1" s="54">
      <c r="A34" s="4" t="n">
        <v>30</v>
      </c>
      <c r="B34" s="9" t="inlineStr">
        <is>
          <t>Work 7: every line not marked OK has a fix.</t>
        </is>
      </c>
      <c r="C34" s="53">
        <f>IF(COUNTIFS('Work 7'!D44:D55,"&lt;&gt;OK",'Work 7'!D44:D55,"&lt;&gt;",'Work 7'!E44:E55,"")=0,"OK","CHECK")</f>
        <v/>
      </c>
      <c r="G34" s="3" t="inlineStr">
        <is>
          <t>Work 4!C7</t>
        </is>
      </c>
      <c r="H34" s="3">
        <f>--NOT(ISNA(FORMULATEXT('Work 4'!C7)))</f>
        <v/>
      </c>
      <c r="I34" s="3">
        <f>IFERROR(SUMPRODUCT((CODE(MID(SUBSTITUTE(SUBSTITUTE(FORMULATEXT('Work 4'!C7),"$",""),"Work ","Work"),ROW($Z$1:$Z$700),1)&amp;" ")&gt;47)*(CODE(MID(SUBSTITUTE(SUBSTITUTE(FORMULATEXT('Work 4'!C7),"$",""),"Work ","Work"),ROW($Z$1:$Z$700),1)&amp;" ")&lt;58)*(1-(CODE(MID(" "&amp;SUBSTITUTE(SUBSTITUTE(FORMULATEXT('Work 4'!C7),"$",""),"Work ","Work"),ROW($Z$1:$Z$700),1)&amp;" ")&gt;47)*(CODE(MID(" "&amp;SUBSTITUTE(SUBSTITUTE(FORMULATEXT('Work 4'!C7),"$",""),"Work ","Work"),ROW($Z$1:$Z$700),1)&amp;" ")&lt;58))*EXACT(UPPER(MID(" "&amp;SUBSTITUTE(SUBSTITUTE(FORMULATEXT('Work 4'!C7),"$",""),"Work ","Work"),ROW($Z$1:$Z$700),1)),LOWER(MID(" "&amp;SUBSTITUTE(SUBSTITUTE(FORMULATEXT('Work 4'!C7),"$",""),"Work ","Work"),ROW($Z$1:$Z$700),1)))*(MID(" "&amp;SUBSTITUTE(SUBSTITUTE(FORMULATEXT('Work 4'!C7),"$",""),"Work ","Work"),ROW($Z$1:$Z$700),1)&lt;&gt;".")*(1-(CODE(MID(SUBSTITUTE(SUBSTITUTE(FORMULATEXT('Work 4'!C7),"$",""),"Work ","Work"),ROW($Z$1:$Z$700),1)&amp;" ")&gt;47)*(CODE(MID(SUBSTITUTE(SUBSTITUTE(FORMULATEXT('Work 4'!C7),"$",""),"Work ","Work"),ROW($Z$1:$Z$700),1)&amp;" ")&lt;51)*(1-(CODE(MID(SUBSTITUTE(SUBSTITUTE(FORMULATEXT('Work 4'!C7),"$",""),"Work ","Work")&amp;" ",ROW($Z$1:$Z$700)+1,1)&amp;" ")&gt;47)*(CODE(MID(SUBSTITUTE(SUBSTITUTE(FORMULATEXT('Work 4'!C7),"$",""),"Work ","Work")&amp;" ",ROW($Z$1:$Z$700)+1,1)&amp;" ")&lt;58))*(MID(SUBSTITUTE(SUBSTITUTE(FORMULATEXT('Work 4'!C7),"$",""),"Work ","Work")&amp;" ",ROW($Z$1:$Z$700)+1,1)&lt;&gt;"."))*(1-(MID(SUBSTITUTE(SUBSTITUTE(FORMULATEXT('Work 4'!C7),"$",""),"Work ","Work"),ROW($Z$1:$Z$700),4)="1000")*(1-(CODE(MID(SUBSTITUTE(SUBSTITUTE(FORMULATEXT('Work 4'!C7),"$",""),"Work ","Work")&amp;"     ",ROW($Z$1:$Z$700)+4,1)&amp;" ")&gt;47)*(CODE(MID(SUBSTITUTE(SUBSTITUTE(FORMULATEXT('Work 4'!C7),"$",""),"Work ","Work")&amp;"     ",ROW($Z$1:$Z$700)+4,1)&amp;" ")&lt;58))*(MID(SUBSTITUTE(SUBSTITUTE(FORMULATEXT('Work 4'!C7),"$",""),"Work ","Work")&amp;"     ",ROW($Z$1:$Z$700)+4,1)&lt;&gt;"."))),0)</f>
        <v/>
      </c>
    </row>
    <row r="35" ht="16.5" customHeight="1" s="54">
      <c r="A35" s="4" t="n">
        <v>31</v>
      </c>
      <c r="B35" s="9" t="inlineStr">
        <is>
          <t>Synthesis: all five answers are written (at least 100 characters each).</t>
        </is>
      </c>
      <c r="C35" s="53">
        <f>IF(AND(LEN(SYN_1)&gt;=100,LEN(SYN_2)&gt;=100,LEN(SYN_3)&gt;=100,LEN(SYN_4)&gt;=100,LEN(SYN_5)&gt;=100),"OK","CHECK")</f>
        <v/>
      </c>
      <c r="G35" s="3" t="inlineStr">
        <is>
          <t>Work 4!C8</t>
        </is>
      </c>
      <c r="H35" s="3">
        <f>--NOT(ISNA(FORMULATEXT('Work 4'!C8)))</f>
        <v/>
      </c>
      <c r="I35" s="3">
        <f>IFERROR(SUMPRODUCT((CODE(MID(SUBSTITUTE(SUBSTITUTE(FORMULATEXT('Work 4'!C8),"$",""),"Work ","Work"),ROW($Z$1:$Z$700),1)&amp;" ")&gt;47)*(CODE(MID(SUBSTITUTE(SUBSTITUTE(FORMULATEXT('Work 4'!C8),"$",""),"Work ","Work"),ROW($Z$1:$Z$700),1)&amp;" ")&lt;58)*(1-(CODE(MID(" "&amp;SUBSTITUTE(SUBSTITUTE(FORMULATEXT('Work 4'!C8),"$",""),"Work ","Work"),ROW($Z$1:$Z$700),1)&amp;" ")&gt;47)*(CODE(MID(" "&amp;SUBSTITUTE(SUBSTITUTE(FORMULATEXT('Work 4'!C8),"$",""),"Work ","Work"),ROW($Z$1:$Z$700),1)&amp;" ")&lt;58))*EXACT(UPPER(MID(" "&amp;SUBSTITUTE(SUBSTITUTE(FORMULATEXT('Work 4'!C8),"$",""),"Work ","Work"),ROW($Z$1:$Z$700),1)),LOWER(MID(" "&amp;SUBSTITUTE(SUBSTITUTE(FORMULATEXT('Work 4'!C8),"$",""),"Work ","Work"),ROW($Z$1:$Z$700),1)))*(MID(" "&amp;SUBSTITUTE(SUBSTITUTE(FORMULATEXT('Work 4'!C8),"$",""),"Work ","Work"),ROW($Z$1:$Z$700),1)&lt;&gt;".")*(1-(CODE(MID(SUBSTITUTE(SUBSTITUTE(FORMULATEXT('Work 4'!C8),"$",""),"Work ","Work"),ROW($Z$1:$Z$700),1)&amp;" ")&gt;47)*(CODE(MID(SUBSTITUTE(SUBSTITUTE(FORMULATEXT('Work 4'!C8),"$",""),"Work ","Work"),ROW($Z$1:$Z$700),1)&amp;" ")&lt;51)*(1-(CODE(MID(SUBSTITUTE(SUBSTITUTE(FORMULATEXT('Work 4'!C8),"$",""),"Work ","Work")&amp;" ",ROW($Z$1:$Z$700)+1,1)&amp;" ")&gt;47)*(CODE(MID(SUBSTITUTE(SUBSTITUTE(FORMULATEXT('Work 4'!C8),"$",""),"Work ","Work")&amp;" ",ROW($Z$1:$Z$700)+1,1)&amp;" ")&lt;58))*(MID(SUBSTITUTE(SUBSTITUTE(FORMULATEXT('Work 4'!C8),"$",""),"Work ","Work")&amp;" ",ROW($Z$1:$Z$700)+1,1)&lt;&gt;"."))*(1-(MID(SUBSTITUTE(SUBSTITUTE(FORMULATEXT('Work 4'!C8),"$",""),"Work ","Work"),ROW($Z$1:$Z$700),4)="1000")*(1-(CODE(MID(SUBSTITUTE(SUBSTITUTE(FORMULATEXT('Work 4'!C8),"$",""),"Work ","Work")&amp;"     ",ROW($Z$1:$Z$700)+4,1)&amp;" ")&gt;47)*(CODE(MID(SUBSTITUTE(SUBSTITUTE(FORMULATEXT('Work 4'!C8),"$",""),"Work ","Work")&amp;"     ",ROW($Z$1:$Z$700)+4,1)&amp;" ")&lt;58))*(MID(SUBSTITUTE(SUBSTITUTE(FORMULATEXT('Work 4'!C8),"$",""),"Work ","Work")&amp;"     ",ROW($Z$1:$Z$700)+4,1)&lt;&gt;"."))),0)</f>
        <v/>
      </c>
    </row>
    <row r="36" ht="14.25" customHeight="1" s="54">
      <c r="G36" s="3" t="inlineStr">
        <is>
          <t>Work 4!C9</t>
        </is>
      </c>
      <c r="H36" s="3">
        <f>--NOT(ISNA(FORMULATEXT('Work 4'!C9)))</f>
        <v/>
      </c>
      <c r="I36" s="3">
        <f>IFERROR(SUMPRODUCT((CODE(MID(SUBSTITUTE(SUBSTITUTE(FORMULATEXT('Work 4'!C9),"$",""),"Work ","Work"),ROW($Z$1:$Z$700),1)&amp;" ")&gt;47)*(CODE(MID(SUBSTITUTE(SUBSTITUTE(FORMULATEXT('Work 4'!C9),"$",""),"Work ","Work"),ROW($Z$1:$Z$700),1)&amp;" ")&lt;58)*(1-(CODE(MID(" "&amp;SUBSTITUTE(SUBSTITUTE(FORMULATEXT('Work 4'!C9),"$",""),"Work ","Work"),ROW($Z$1:$Z$700),1)&amp;" ")&gt;47)*(CODE(MID(" "&amp;SUBSTITUTE(SUBSTITUTE(FORMULATEXT('Work 4'!C9),"$",""),"Work ","Work"),ROW($Z$1:$Z$700),1)&amp;" ")&lt;58))*EXACT(UPPER(MID(" "&amp;SUBSTITUTE(SUBSTITUTE(FORMULATEXT('Work 4'!C9),"$",""),"Work ","Work"),ROW($Z$1:$Z$700),1)),LOWER(MID(" "&amp;SUBSTITUTE(SUBSTITUTE(FORMULATEXT('Work 4'!C9),"$",""),"Work ","Work"),ROW($Z$1:$Z$700),1)))*(MID(" "&amp;SUBSTITUTE(SUBSTITUTE(FORMULATEXT('Work 4'!C9),"$",""),"Work ","Work"),ROW($Z$1:$Z$700),1)&lt;&gt;".")*(1-(CODE(MID(SUBSTITUTE(SUBSTITUTE(FORMULATEXT('Work 4'!C9),"$",""),"Work ","Work"),ROW($Z$1:$Z$700),1)&amp;" ")&gt;47)*(CODE(MID(SUBSTITUTE(SUBSTITUTE(FORMULATEXT('Work 4'!C9),"$",""),"Work ","Work"),ROW($Z$1:$Z$700),1)&amp;" ")&lt;51)*(1-(CODE(MID(SUBSTITUTE(SUBSTITUTE(FORMULATEXT('Work 4'!C9),"$",""),"Work ","Work")&amp;" ",ROW($Z$1:$Z$700)+1,1)&amp;" ")&gt;47)*(CODE(MID(SUBSTITUTE(SUBSTITUTE(FORMULATEXT('Work 4'!C9),"$",""),"Work ","Work")&amp;" ",ROW($Z$1:$Z$700)+1,1)&amp;" ")&lt;58))*(MID(SUBSTITUTE(SUBSTITUTE(FORMULATEXT('Work 4'!C9),"$",""),"Work ","Work")&amp;" ",ROW($Z$1:$Z$700)+1,1)&lt;&gt;"."))*(1-(MID(SUBSTITUTE(SUBSTITUTE(FORMULATEXT('Work 4'!C9),"$",""),"Work ","Work"),ROW($Z$1:$Z$700),4)="1000")*(1-(CODE(MID(SUBSTITUTE(SUBSTITUTE(FORMULATEXT('Work 4'!C9),"$",""),"Work ","Work")&amp;"     ",ROW($Z$1:$Z$700)+4,1)&amp;" ")&gt;47)*(CODE(MID(SUBSTITUTE(SUBSTITUTE(FORMULATEXT('Work 4'!C9),"$",""),"Work ","Work")&amp;"     ",ROW($Z$1:$Z$700)+4,1)&amp;" ")&lt;58))*(MID(SUBSTITUTE(SUBSTITUTE(FORMULATEXT('Work 4'!C9),"$",""),"Work ","Work")&amp;"     ",ROW($Z$1:$Z$700)+4,1)&lt;&gt;"."))),0)</f>
        <v/>
      </c>
    </row>
    <row r="37" ht="14.25" customHeight="1" s="54">
      <c r="B37" s="4" t="inlineStr">
        <is>
          <t>A green Self-Check proves the build is formula-driven and ties. It does not prove the answers are right.</t>
        </is>
      </c>
      <c r="G37" s="3" t="inlineStr">
        <is>
          <t>Work 4!C10</t>
        </is>
      </c>
      <c r="H37" s="3">
        <f>--NOT(ISNA(FORMULATEXT('Work 4'!C10)))</f>
        <v/>
      </c>
      <c r="I37" s="3">
        <f>IFERROR(SUMPRODUCT((CODE(MID(SUBSTITUTE(SUBSTITUTE(FORMULATEXT('Work 4'!C10),"$",""),"Work ","Work"),ROW($Z$1:$Z$700),1)&amp;" ")&gt;47)*(CODE(MID(SUBSTITUTE(SUBSTITUTE(FORMULATEXT('Work 4'!C10),"$",""),"Work ","Work"),ROW($Z$1:$Z$700),1)&amp;" ")&lt;58)*(1-(CODE(MID(" "&amp;SUBSTITUTE(SUBSTITUTE(FORMULATEXT('Work 4'!C10),"$",""),"Work ","Work"),ROW($Z$1:$Z$700),1)&amp;" ")&gt;47)*(CODE(MID(" "&amp;SUBSTITUTE(SUBSTITUTE(FORMULATEXT('Work 4'!C10),"$",""),"Work ","Work"),ROW($Z$1:$Z$700),1)&amp;" ")&lt;58))*EXACT(UPPER(MID(" "&amp;SUBSTITUTE(SUBSTITUTE(FORMULATEXT('Work 4'!C10),"$",""),"Work ","Work"),ROW($Z$1:$Z$700),1)),LOWER(MID(" "&amp;SUBSTITUTE(SUBSTITUTE(FORMULATEXT('Work 4'!C10),"$",""),"Work ","Work"),ROW($Z$1:$Z$700),1)))*(MID(" "&amp;SUBSTITUTE(SUBSTITUTE(FORMULATEXT('Work 4'!C10),"$",""),"Work ","Work"),ROW($Z$1:$Z$700),1)&lt;&gt;".")*(1-(CODE(MID(SUBSTITUTE(SUBSTITUTE(FORMULATEXT('Work 4'!C10),"$",""),"Work ","Work"),ROW($Z$1:$Z$700),1)&amp;" ")&gt;47)*(CODE(MID(SUBSTITUTE(SUBSTITUTE(FORMULATEXT('Work 4'!C10),"$",""),"Work ","Work"),ROW($Z$1:$Z$700),1)&amp;" ")&lt;51)*(1-(CODE(MID(SUBSTITUTE(SUBSTITUTE(FORMULATEXT('Work 4'!C10),"$",""),"Work ","Work")&amp;" ",ROW($Z$1:$Z$700)+1,1)&amp;" ")&gt;47)*(CODE(MID(SUBSTITUTE(SUBSTITUTE(FORMULATEXT('Work 4'!C10),"$",""),"Work ","Work")&amp;" ",ROW($Z$1:$Z$700)+1,1)&amp;" ")&lt;58))*(MID(SUBSTITUTE(SUBSTITUTE(FORMULATEXT('Work 4'!C10),"$",""),"Work ","Work")&amp;" ",ROW($Z$1:$Z$700)+1,1)&lt;&gt;"."))*(1-(MID(SUBSTITUTE(SUBSTITUTE(FORMULATEXT('Work 4'!C10),"$",""),"Work ","Work"),ROW($Z$1:$Z$700),4)="1000")*(1-(CODE(MID(SUBSTITUTE(SUBSTITUTE(FORMULATEXT('Work 4'!C10),"$",""),"Work ","Work")&amp;"     ",ROW($Z$1:$Z$700)+4,1)&amp;" ")&gt;47)*(CODE(MID(SUBSTITUTE(SUBSTITUTE(FORMULATEXT('Work 4'!C10),"$",""),"Work ","Work")&amp;"     ",ROW($Z$1:$Z$700)+4,1)&amp;" ")&lt;58))*(MID(SUBSTITUTE(SUBSTITUTE(FORMULATEXT('Work 4'!C10),"$",""),"Work ","Work")&amp;"     ",ROW($Z$1:$Z$700)+4,1)&lt;&gt;"."))),0)</f>
        <v/>
      </c>
    </row>
    <row r="38" ht="14.25" customHeight="1" s="54">
      <c r="G38" s="3" t="inlineStr">
        <is>
          <t>Work 4!C11</t>
        </is>
      </c>
      <c r="H38" s="3">
        <f>--NOT(ISNA(FORMULATEXT('Work 4'!C11)))</f>
        <v/>
      </c>
      <c r="I38" s="3">
        <f>IFERROR(SUMPRODUCT((CODE(MID(SUBSTITUTE(SUBSTITUTE(FORMULATEXT('Work 4'!C11),"$",""),"Work ","Work"),ROW($Z$1:$Z$700),1)&amp;" ")&gt;47)*(CODE(MID(SUBSTITUTE(SUBSTITUTE(FORMULATEXT('Work 4'!C11),"$",""),"Work ","Work"),ROW($Z$1:$Z$700),1)&amp;" ")&lt;58)*(1-(CODE(MID(" "&amp;SUBSTITUTE(SUBSTITUTE(FORMULATEXT('Work 4'!C11),"$",""),"Work ","Work"),ROW($Z$1:$Z$700),1)&amp;" ")&gt;47)*(CODE(MID(" "&amp;SUBSTITUTE(SUBSTITUTE(FORMULATEXT('Work 4'!C11),"$",""),"Work ","Work"),ROW($Z$1:$Z$700),1)&amp;" ")&lt;58))*EXACT(UPPER(MID(" "&amp;SUBSTITUTE(SUBSTITUTE(FORMULATEXT('Work 4'!C11),"$",""),"Work ","Work"),ROW($Z$1:$Z$700),1)),LOWER(MID(" "&amp;SUBSTITUTE(SUBSTITUTE(FORMULATEXT('Work 4'!C11),"$",""),"Work ","Work"),ROW($Z$1:$Z$700),1)))*(MID(" "&amp;SUBSTITUTE(SUBSTITUTE(FORMULATEXT('Work 4'!C11),"$",""),"Work ","Work"),ROW($Z$1:$Z$700),1)&lt;&gt;".")*(1-(CODE(MID(SUBSTITUTE(SUBSTITUTE(FORMULATEXT('Work 4'!C11),"$",""),"Work ","Work"),ROW($Z$1:$Z$700),1)&amp;" ")&gt;47)*(CODE(MID(SUBSTITUTE(SUBSTITUTE(FORMULATEXT('Work 4'!C11),"$",""),"Work ","Work"),ROW($Z$1:$Z$700),1)&amp;" ")&lt;51)*(1-(CODE(MID(SUBSTITUTE(SUBSTITUTE(FORMULATEXT('Work 4'!C11),"$",""),"Work ","Work")&amp;" ",ROW($Z$1:$Z$700)+1,1)&amp;" ")&gt;47)*(CODE(MID(SUBSTITUTE(SUBSTITUTE(FORMULATEXT('Work 4'!C11),"$",""),"Work ","Work")&amp;" ",ROW($Z$1:$Z$700)+1,1)&amp;" ")&lt;58))*(MID(SUBSTITUTE(SUBSTITUTE(FORMULATEXT('Work 4'!C11),"$",""),"Work ","Work")&amp;" ",ROW($Z$1:$Z$700)+1,1)&lt;&gt;"."))*(1-(MID(SUBSTITUTE(SUBSTITUTE(FORMULATEXT('Work 4'!C11),"$",""),"Work ","Work"),ROW($Z$1:$Z$700),4)="1000")*(1-(CODE(MID(SUBSTITUTE(SUBSTITUTE(FORMULATEXT('Work 4'!C11),"$",""),"Work ","Work")&amp;"     ",ROW($Z$1:$Z$700)+4,1)&amp;" ")&gt;47)*(CODE(MID(SUBSTITUTE(SUBSTITUTE(FORMULATEXT('Work 4'!C11),"$",""),"Work ","Work")&amp;"     ",ROW($Z$1:$Z$700)+4,1)&amp;" ")&lt;58))*(MID(SUBSTITUTE(SUBSTITUTE(FORMULATEXT('Work 4'!C11),"$",""),"Work ","Work")&amp;"     ",ROW($Z$1:$Z$700)+4,1)&lt;&gt;"."))),0)</f>
        <v/>
      </c>
    </row>
    <row r="39" ht="14.25" customHeight="1" s="54">
      <c r="G39" s="3" t="inlineStr">
        <is>
          <t>Work 4!C12</t>
        </is>
      </c>
      <c r="H39" s="3">
        <f>--NOT(ISNA(FORMULATEXT('Work 4'!C12)))</f>
        <v/>
      </c>
      <c r="I39" s="3">
        <f>IFERROR(SUMPRODUCT((CODE(MID(SUBSTITUTE(SUBSTITUTE(FORMULATEXT('Work 4'!C12),"$",""),"Work ","Work"),ROW($Z$1:$Z$700),1)&amp;" ")&gt;47)*(CODE(MID(SUBSTITUTE(SUBSTITUTE(FORMULATEXT('Work 4'!C12),"$",""),"Work ","Work"),ROW($Z$1:$Z$700),1)&amp;" ")&lt;58)*(1-(CODE(MID(" "&amp;SUBSTITUTE(SUBSTITUTE(FORMULATEXT('Work 4'!C12),"$",""),"Work ","Work"),ROW($Z$1:$Z$700),1)&amp;" ")&gt;47)*(CODE(MID(" "&amp;SUBSTITUTE(SUBSTITUTE(FORMULATEXT('Work 4'!C12),"$",""),"Work ","Work"),ROW($Z$1:$Z$700),1)&amp;" ")&lt;58))*EXACT(UPPER(MID(" "&amp;SUBSTITUTE(SUBSTITUTE(FORMULATEXT('Work 4'!C12),"$",""),"Work ","Work"),ROW($Z$1:$Z$700),1)),LOWER(MID(" "&amp;SUBSTITUTE(SUBSTITUTE(FORMULATEXT('Work 4'!C12),"$",""),"Work ","Work"),ROW($Z$1:$Z$700),1)))*(MID(" "&amp;SUBSTITUTE(SUBSTITUTE(FORMULATEXT('Work 4'!C12),"$",""),"Work ","Work"),ROW($Z$1:$Z$700),1)&lt;&gt;".")*(1-(CODE(MID(SUBSTITUTE(SUBSTITUTE(FORMULATEXT('Work 4'!C12),"$",""),"Work ","Work"),ROW($Z$1:$Z$700),1)&amp;" ")&gt;47)*(CODE(MID(SUBSTITUTE(SUBSTITUTE(FORMULATEXT('Work 4'!C12),"$",""),"Work ","Work"),ROW($Z$1:$Z$700),1)&amp;" ")&lt;51)*(1-(CODE(MID(SUBSTITUTE(SUBSTITUTE(FORMULATEXT('Work 4'!C12),"$",""),"Work ","Work")&amp;" ",ROW($Z$1:$Z$700)+1,1)&amp;" ")&gt;47)*(CODE(MID(SUBSTITUTE(SUBSTITUTE(FORMULATEXT('Work 4'!C12),"$",""),"Work ","Work")&amp;" ",ROW($Z$1:$Z$700)+1,1)&amp;" ")&lt;58))*(MID(SUBSTITUTE(SUBSTITUTE(FORMULATEXT('Work 4'!C12),"$",""),"Work ","Work")&amp;" ",ROW($Z$1:$Z$700)+1,1)&lt;&gt;"."))*(1-(MID(SUBSTITUTE(SUBSTITUTE(FORMULATEXT('Work 4'!C12),"$",""),"Work ","Work"),ROW($Z$1:$Z$700),4)="1000")*(1-(CODE(MID(SUBSTITUTE(SUBSTITUTE(FORMULATEXT('Work 4'!C12),"$",""),"Work ","Work")&amp;"     ",ROW($Z$1:$Z$700)+4,1)&amp;" ")&gt;47)*(CODE(MID(SUBSTITUTE(SUBSTITUTE(FORMULATEXT('Work 4'!C12),"$",""),"Work ","Work")&amp;"     ",ROW($Z$1:$Z$700)+4,1)&amp;" ")&lt;58))*(MID(SUBSTITUTE(SUBSTITUTE(FORMULATEXT('Work 4'!C12),"$",""),"Work ","Work")&amp;"     ",ROW($Z$1:$Z$700)+4,1)&lt;&gt;"."))),0)</f>
        <v/>
      </c>
    </row>
    <row r="40" ht="14.25" customHeight="1" s="54">
      <c r="G40" s="3" t="inlineStr">
        <is>
          <t>Work 4!C13</t>
        </is>
      </c>
      <c r="H40" s="3">
        <f>--NOT(ISNA(FORMULATEXT('Work 4'!C13)))</f>
        <v/>
      </c>
      <c r="I40" s="3">
        <f>IFERROR(SUMPRODUCT((CODE(MID(SUBSTITUTE(SUBSTITUTE(FORMULATEXT('Work 4'!C13),"$",""),"Work ","Work"),ROW($Z$1:$Z$700),1)&amp;" ")&gt;47)*(CODE(MID(SUBSTITUTE(SUBSTITUTE(FORMULATEXT('Work 4'!C13),"$",""),"Work ","Work"),ROW($Z$1:$Z$700),1)&amp;" ")&lt;58)*(1-(CODE(MID(" "&amp;SUBSTITUTE(SUBSTITUTE(FORMULATEXT('Work 4'!C13),"$",""),"Work ","Work"),ROW($Z$1:$Z$700),1)&amp;" ")&gt;47)*(CODE(MID(" "&amp;SUBSTITUTE(SUBSTITUTE(FORMULATEXT('Work 4'!C13),"$",""),"Work ","Work"),ROW($Z$1:$Z$700),1)&amp;" ")&lt;58))*EXACT(UPPER(MID(" "&amp;SUBSTITUTE(SUBSTITUTE(FORMULATEXT('Work 4'!C13),"$",""),"Work ","Work"),ROW($Z$1:$Z$700),1)),LOWER(MID(" "&amp;SUBSTITUTE(SUBSTITUTE(FORMULATEXT('Work 4'!C13),"$",""),"Work ","Work"),ROW($Z$1:$Z$700),1)))*(MID(" "&amp;SUBSTITUTE(SUBSTITUTE(FORMULATEXT('Work 4'!C13),"$",""),"Work ","Work"),ROW($Z$1:$Z$700),1)&lt;&gt;".")*(1-(CODE(MID(SUBSTITUTE(SUBSTITUTE(FORMULATEXT('Work 4'!C13),"$",""),"Work ","Work"),ROW($Z$1:$Z$700),1)&amp;" ")&gt;47)*(CODE(MID(SUBSTITUTE(SUBSTITUTE(FORMULATEXT('Work 4'!C13),"$",""),"Work ","Work"),ROW($Z$1:$Z$700),1)&amp;" ")&lt;51)*(1-(CODE(MID(SUBSTITUTE(SUBSTITUTE(FORMULATEXT('Work 4'!C13),"$",""),"Work ","Work")&amp;" ",ROW($Z$1:$Z$700)+1,1)&amp;" ")&gt;47)*(CODE(MID(SUBSTITUTE(SUBSTITUTE(FORMULATEXT('Work 4'!C13),"$",""),"Work ","Work")&amp;" ",ROW($Z$1:$Z$700)+1,1)&amp;" ")&lt;58))*(MID(SUBSTITUTE(SUBSTITUTE(FORMULATEXT('Work 4'!C13),"$",""),"Work ","Work")&amp;" ",ROW($Z$1:$Z$700)+1,1)&lt;&gt;"."))*(1-(MID(SUBSTITUTE(SUBSTITUTE(FORMULATEXT('Work 4'!C13),"$",""),"Work ","Work"),ROW($Z$1:$Z$700),4)="1000")*(1-(CODE(MID(SUBSTITUTE(SUBSTITUTE(FORMULATEXT('Work 4'!C13),"$",""),"Work ","Work")&amp;"     ",ROW($Z$1:$Z$700)+4,1)&amp;" ")&gt;47)*(CODE(MID(SUBSTITUTE(SUBSTITUTE(FORMULATEXT('Work 4'!C13),"$",""),"Work ","Work")&amp;"     ",ROW($Z$1:$Z$700)+4,1)&amp;" ")&lt;58))*(MID(SUBSTITUTE(SUBSTITUTE(FORMULATEXT('Work 4'!C13),"$",""),"Work ","Work")&amp;"     ",ROW($Z$1:$Z$700)+4,1)&lt;&gt;"."))),0)</f>
        <v/>
      </c>
    </row>
    <row r="41" ht="14.25" customHeight="1" s="54">
      <c r="G41" s="3" t="inlineStr">
        <is>
          <t>Work 4!C14</t>
        </is>
      </c>
      <c r="H41" s="3">
        <f>--NOT(ISNA(FORMULATEXT('Work 4'!C14)))</f>
        <v/>
      </c>
      <c r="I41" s="3">
        <f>IFERROR(SUMPRODUCT((CODE(MID(SUBSTITUTE(SUBSTITUTE(FORMULATEXT('Work 4'!C14),"$",""),"Work ","Work"),ROW($Z$1:$Z$700),1)&amp;" ")&gt;47)*(CODE(MID(SUBSTITUTE(SUBSTITUTE(FORMULATEXT('Work 4'!C14),"$",""),"Work ","Work"),ROW($Z$1:$Z$700),1)&amp;" ")&lt;58)*(1-(CODE(MID(" "&amp;SUBSTITUTE(SUBSTITUTE(FORMULATEXT('Work 4'!C14),"$",""),"Work ","Work"),ROW($Z$1:$Z$700),1)&amp;" ")&gt;47)*(CODE(MID(" "&amp;SUBSTITUTE(SUBSTITUTE(FORMULATEXT('Work 4'!C14),"$",""),"Work ","Work"),ROW($Z$1:$Z$700),1)&amp;" ")&lt;58))*EXACT(UPPER(MID(" "&amp;SUBSTITUTE(SUBSTITUTE(FORMULATEXT('Work 4'!C14),"$",""),"Work ","Work"),ROW($Z$1:$Z$700),1)),LOWER(MID(" "&amp;SUBSTITUTE(SUBSTITUTE(FORMULATEXT('Work 4'!C14),"$",""),"Work ","Work"),ROW($Z$1:$Z$700),1)))*(MID(" "&amp;SUBSTITUTE(SUBSTITUTE(FORMULATEXT('Work 4'!C14),"$",""),"Work ","Work"),ROW($Z$1:$Z$700),1)&lt;&gt;".")*(1-(CODE(MID(SUBSTITUTE(SUBSTITUTE(FORMULATEXT('Work 4'!C14),"$",""),"Work ","Work"),ROW($Z$1:$Z$700),1)&amp;" ")&gt;47)*(CODE(MID(SUBSTITUTE(SUBSTITUTE(FORMULATEXT('Work 4'!C14),"$",""),"Work ","Work"),ROW($Z$1:$Z$700),1)&amp;" ")&lt;51)*(1-(CODE(MID(SUBSTITUTE(SUBSTITUTE(FORMULATEXT('Work 4'!C14),"$",""),"Work ","Work")&amp;" ",ROW($Z$1:$Z$700)+1,1)&amp;" ")&gt;47)*(CODE(MID(SUBSTITUTE(SUBSTITUTE(FORMULATEXT('Work 4'!C14),"$",""),"Work ","Work")&amp;" ",ROW($Z$1:$Z$700)+1,1)&amp;" ")&lt;58))*(MID(SUBSTITUTE(SUBSTITUTE(FORMULATEXT('Work 4'!C14),"$",""),"Work ","Work")&amp;" ",ROW($Z$1:$Z$700)+1,1)&lt;&gt;"."))*(1-(MID(SUBSTITUTE(SUBSTITUTE(FORMULATEXT('Work 4'!C14),"$",""),"Work ","Work"),ROW($Z$1:$Z$700),4)="1000")*(1-(CODE(MID(SUBSTITUTE(SUBSTITUTE(FORMULATEXT('Work 4'!C14),"$",""),"Work ","Work")&amp;"     ",ROW($Z$1:$Z$700)+4,1)&amp;" ")&gt;47)*(CODE(MID(SUBSTITUTE(SUBSTITUTE(FORMULATEXT('Work 4'!C14),"$",""),"Work ","Work")&amp;"     ",ROW($Z$1:$Z$700)+4,1)&amp;" ")&lt;58))*(MID(SUBSTITUTE(SUBSTITUTE(FORMULATEXT('Work 4'!C14),"$",""),"Work ","Work")&amp;"     ",ROW($Z$1:$Z$700)+4,1)&lt;&gt;"."))),0)</f>
        <v/>
      </c>
    </row>
    <row r="42" ht="14.25" customHeight="1" s="54">
      <c r="G42" s="3" t="inlineStr">
        <is>
          <t>Work 4!C15</t>
        </is>
      </c>
      <c r="H42" s="3">
        <f>--NOT(ISNA(FORMULATEXT('Work 4'!C15)))</f>
        <v/>
      </c>
      <c r="I42" s="3">
        <f>IFERROR(SUMPRODUCT((CODE(MID(SUBSTITUTE(SUBSTITUTE(FORMULATEXT('Work 4'!C15),"$",""),"Work ","Work"),ROW($Z$1:$Z$700),1)&amp;" ")&gt;47)*(CODE(MID(SUBSTITUTE(SUBSTITUTE(FORMULATEXT('Work 4'!C15),"$",""),"Work ","Work"),ROW($Z$1:$Z$700),1)&amp;" ")&lt;58)*(1-(CODE(MID(" "&amp;SUBSTITUTE(SUBSTITUTE(FORMULATEXT('Work 4'!C15),"$",""),"Work ","Work"),ROW($Z$1:$Z$700),1)&amp;" ")&gt;47)*(CODE(MID(" "&amp;SUBSTITUTE(SUBSTITUTE(FORMULATEXT('Work 4'!C15),"$",""),"Work ","Work"),ROW($Z$1:$Z$700),1)&amp;" ")&lt;58))*EXACT(UPPER(MID(" "&amp;SUBSTITUTE(SUBSTITUTE(FORMULATEXT('Work 4'!C15),"$",""),"Work ","Work"),ROW($Z$1:$Z$700),1)),LOWER(MID(" "&amp;SUBSTITUTE(SUBSTITUTE(FORMULATEXT('Work 4'!C15),"$",""),"Work ","Work"),ROW($Z$1:$Z$700),1)))*(MID(" "&amp;SUBSTITUTE(SUBSTITUTE(FORMULATEXT('Work 4'!C15),"$",""),"Work ","Work"),ROW($Z$1:$Z$700),1)&lt;&gt;".")*(1-(CODE(MID(SUBSTITUTE(SUBSTITUTE(FORMULATEXT('Work 4'!C15),"$",""),"Work ","Work"),ROW($Z$1:$Z$700),1)&amp;" ")&gt;47)*(CODE(MID(SUBSTITUTE(SUBSTITUTE(FORMULATEXT('Work 4'!C15),"$",""),"Work ","Work"),ROW($Z$1:$Z$700),1)&amp;" ")&lt;51)*(1-(CODE(MID(SUBSTITUTE(SUBSTITUTE(FORMULATEXT('Work 4'!C15),"$",""),"Work ","Work")&amp;" ",ROW($Z$1:$Z$700)+1,1)&amp;" ")&gt;47)*(CODE(MID(SUBSTITUTE(SUBSTITUTE(FORMULATEXT('Work 4'!C15),"$",""),"Work ","Work")&amp;" ",ROW($Z$1:$Z$700)+1,1)&amp;" ")&lt;58))*(MID(SUBSTITUTE(SUBSTITUTE(FORMULATEXT('Work 4'!C15),"$",""),"Work ","Work")&amp;" ",ROW($Z$1:$Z$700)+1,1)&lt;&gt;"."))*(1-(MID(SUBSTITUTE(SUBSTITUTE(FORMULATEXT('Work 4'!C15),"$",""),"Work ","Work"),ROW($Z$1:$Z$700),4)="1000")*(1-(CODE(MID(SUBSTITUTE(SUBSTITUTE(FORMULATEXT('Work 4'!C15),"$",""),"Work ","Work")&amp;"     ",ROW($Z$1:$Z$700)+4,1)&amp;" ")&gt;47)*(CODE(MID(SUBSTITUTE(SUBSTITUTE(FORMULATEXT('Work 4'!C15),"$",""),"Work ","Work")&amp;"     ",ROW($Z$1:$Z$700)+4,1)&amp;" ")&lt;58))*(MID(SUBSTITUTE(SUBSTITUTE(FORMULATEXT('Work 4'!C15),"$",""),"Work ","Work")&amp;"     ",ROW($Z$1:$Z$700)+4,1)&lt;&gt;"."))),0)</f>
        <v/>
      </c>
    </row>
    <row r="43" ht="14.25" customHeight="1" s="54">
      <c r="G43" s="3" t="inlineStr">
        <is>
          <t>Work 4!C16</t>
        </is>
      </c>
      <c r="H43" s="3">
        <f>--NOT(ISNA(FORMULATEXT('Work 4'!C16)))</f>
        <v/>
      </c>
      <c r="I43" s="3">
        <f>IFERROR(SUMPRODUCT((CODE(MID(SUBSTITUTE(SUBSTITUTE(FORMULATEXT('Work 4'!C16),"$",""),"Work ","Work"),ROW($Z$1:$Z$700),1)&amp;" ")&gt;47)*(CODE(MID(SUBSTITUTE(SUBSTITUTE(FORMULATEXT('Work 4'!C16),"$",""),"Work ","Work"),ROW($Z$1:$Z$700),1)&amp;" ")&lt;58)*(1-(CODE(MID(" "&amp;SUBSTITUTE(SUBSTITUTE(FORMULATEXT('Work 4'!C16),"$",""),"Work ","Work"),ROW($Z$1:$Z$700),1)&amp;" ")&gt;47)*(CODE(MID(" "&amp;SUBSTITUTE(SUBSTITUTE(FORMULATEXT('Work 4'!C16),"$",""),"Work ","Work"),ROW($Z$1:$Z$700),1)&amp;" ")&lt;58))*EXACT(UPPER(MID(" "&amp;SUBSTITUTE(SUBSTITUTE(FORMULATEXT('Work 4'!C16),"$",""),"Work ","Work"),ROW($Z$1:$Z$700),1)),LOWER(MID(" "&amp;SUBSTITUTE(SUBSTITUTE(FORMULATEXT('Work 4'!C16),"$",""),"Work ","Work"),ROW($Z$1:$Z$700),1)))*(MID(" "&amp;SUBSTITUTE(SUBSTITUTE(FORMULATEXT('Work 4'!C16),"$",""),"Work ","Work"),ROW($Z$1:$Z$700),1)&lt;&gt;".")*(1-(CODE(MID(SUBSTITUTE(SUBSTITUTE(FORMULATEXT('Work 4'!C16),"$",""),"Work ","Work"),ROW($Z$1:$Z$700),1)&amp;" ")&gt;47)*(CODE(MID(SUBSTITUTE(SUBSTITUTE(FORMULATEXT('Work 4'!C16),"$",""),"Work ","Work"),ROW($Z$1:$Z$700),1)&amp;" ")&lt;51)*(1-(CODE(MID(SUBSTITUTE(SUBSTITUTE(FORMULATEXT('Work 4'!C16),"$",""),"Work ","Work")&amp;" ",ROW($Z$1:$Z$700)+1,1)&amp;" ")&gt;47)*(CODE(MID(SUBSTITUTE(SUBSTITUTE(FORMULATEXT('Work 4'!C16),"$",""),"Work ","Work")&amp;" ",ROW($Z$1:$Z$700)+1,1)&amp;" ")&lt;58))*(MID(SUBSTITUTE(SUBSTITUTE(FORMULATEXT('Work 4'!C16),"$",""),"Work ","Work")&amp;" ",ROW($Z$1:$Z$700)+1,1)&lt;&gt;"."))*(1-(MID(SUBSTITUTE(SUBSTITUTE(FORMULATEXT('Work 4'!C16),"$",""),"Work ","Work"),ROW($Z$1:$Z$700),4)="1000")*(1-(CODE(MID(SUBSTITUTE(SUBSTITUTE(FORMULATEXT('Work 4'!C16),"$",""),"Work ","Work")&amp;"     ",ROW($Z$1:$Z$700)+4,1)&amp;" ")&gt;47)*(CODE(MID(SUBSTITUTE(SUBSTITUTE(FORMULATEXT('Work 4'!C16),"$",""),"Work ","Work")&amp;"     ",ROW($Z$1:$Z$700)+4,1)&amp;" ")&lt;58))*(MID(SUBSTITUTE(SUBSTITUTE(FORMULATEXT('Work 4'!C16),"$",""),"Work ","Work")&amp;"     ",ROW($Z$1:$Z$700)+4,1)&lt;&gt;"."))),0)</f>
        <v/>
      </c>
    </row>
    <row r="44" ht="14.25" customHeight="1" s="54">
      <c r="G44" s="3" t="inlineStr">
        <is>
          <t>Work 4!C17</t>
        </is>
      </c>
      <c r="H44" s="3">
        <f>--NOT(ISNA(FORMULATEXT('Work 4'!C17)))</f>
        <v/>
      </c>
      <c r="I44" s="3">
        <f>IFERROR(SUMPRODUCT((CODE(MID(SUBSTITUTE(SUBSTITUTE(FORMULATEXT('Work 4'!C17),"$",""),"Work ","Work"),ROW($Z$1:$Z$700),1)&amp;" ")&gt;47)*(CODE(MID(SUBSTITUTE(SUBSTITUTE(FORMULATEXT('Work 4'!C17),"$",""),"Work ","Work"),ROW($Z$1:$Z$700),1)&amp;" ")&lt;58)*(1-(CODE(MID(" "&amp;SUBSTITUTE(SUBSTITUTE(FORMULATEXT('Work 4'!C17),"$",""),"Work ","Work"),ROW($Z$1:$Z$700),1)&amp;" ")&gt;47)*(CODE(MID(" "&amp;SUBSTITUTE(SUBSTITUTE(FORMULATEXT('Work 4'!C17),"$",""),"Work ","Work"),ROW($Z$1:$Z$700),1)&amp;" ")&lt;58))*EXACT(UPPER(MID(" "&amp;SUBSTITUTE(SUBSTITUTE(FORMULATEXT('Work 4'!C17),"$",""),"Work ","Work"),ROW($Z$1:$Z$700),1)),LOWER(MID(" "&amp;SUBSTITUTE(SUBSTITUTE(FORMULATEXT('Work 4'!C17),"$",""),"Work ","Work"),ROW($Z$1:$Z$700),1)))*(MID(" "&amp;SUBSTITUTE(SUBSTITUTE(FORMULATEXT('Work 4'!C17),"$",""),"Work ","Work"),ROW($Z$1:$Z$700),1)&lt;&gt;".")*(1-(CODE(MID(SUBSTITUTE(SUBSTITUTE(FORMULATEXT('Work 4'!C17),"$",""),"Work ","Work"),ROW($Z$1:$Z$700),1)&amp;" ")&gt;47)*(CODE(MID(SUBSTITUTE(SUBSTITUTE(FORMULATEXT('Work 4'!C17),"$",""),"Work ","Work"),ROW($Z$1:$Z$700),1)&amp;" ")&lt;51)*(1-(CODE(MID(SUBSTITUTE(SUBSTITUTE(FORMULATEXT('Work 4'!C17),"$",""),"Work ","Work")&amp;" ",ROW($Z$1:$Z$700)+1,1)&amp;" ")&gt;47)*(CODE(MID(SUBSTITUTE(SUBSTITUTE(FORMULATEXT('Work 4'!C17),"$",""),"Work ","Work")&amp;" ",ROW($Z$1:$Z$700)+1,1)&amp;" ")&lt;58))*(MID(SUBSTITUTE(SUBSTITUTE(FORMULATEXT('Work 4'!C17),"$",""),"Work ","Work")&amp;" ",ROW($Z$1:$Z$700)+1,1)&lt;&gt;"."))*(1-(MID(SUBSTITUTE(SUBSTITUTE(FORMULATEXT('Work 4'!C17),"$",""),"Work ","Work"),ROW($Z$1:$Z$700),4)="1000")*(1-(CODE(MID(SUBSTITUTE(SUBSTITUTE(FORMULATEXT('Work 4'!C17),"$",""),"Work ","Work")&amp;"     ",ROW($Z$1:$Z$700)+4,1)&amp;" ")&gt;47)*(CODE(MID(SUBSTITUTE(SUBSTITUTE(FORMULATEXT('Work 4'!C17),"$",""),"Work ","Work")&amp;"     ",ROW($Z$1:$Z$700)+4,1)&amp;" ")&lt;58))*(MID(SUBSTITUTE(SUBSTITUTE(FORMULATEXT('Work 4'!C17),"$",""),"Work ","Work")&amp;"     ",ROW($Z$1:$Z$700)+4,1)&lt;&gt;"."))),0)</f>
        <v/>
      </c>
    </row>
    <row r="45" ht="14.25" customHeight="1" s="54">
      <c r="G45" s="3" t="inlineStr">
        <is>
          <t>Work 5!C5</t>
        </is>
      </c>
      <c r="H45" s="3">
        <f>--NOT(ISNA(FORMULATEXT('Work 5'!C5)))</f>
        <v/>
      </c>
      <c r="I45" s="3">
        <f>IFERROR(SUMPRODUCT((CODE(MID(SUBSTITUTE(SUBSTITUTE(FORMULATEXT('Work 5'!C5),"$",""),"Work ","Work"),ROW($Z$1:$Z$700),1)&amp;" ")&gt;47)*(CODE(MID(SUBSTITUTE(SUBSTITUTE(FORMULATEXT('Work 5'!C5),"$",""),"Work ","Work"),ROW($Z$1:$Z$700),1)&amp;" ")&lt;58)*(1-(CODE(MID(" "&amp;SUBSTITUTE(SUBSTITUTE(FORMULATEXT('Work 5'!C5),"$",""),"Work ","Work"),ROW($Z$1:$Z$700),1)&amp;" ")&gt;47)*(CODE(MID(" "&amp;SUBSTITUTE(SUBSTITUTE(FORMULATEXT('Work 5'!C5),"$",""),"Work ","Work"),ROW($Z$1:$Z$700),1)&amp;" ")&lt;58))*EXACT(UPPER(MID(" "&amp;SUBSTITUTE(SUBSTITUTE(FORMULATEXT('Work 5'!C5),"$",""),"Work ","Work"),ROW($Z$1:$Z$700),1)),LOWER(MID(" "&amp;SUBSTITUTE(SUBSTITUTE(FORMULATEXT('Work 5'!C5),"$",""),"Work ","Work"),ROW($Z$1:$Z$700),1)))*(MID(" "&amp;SUBSTITUTE(SUBSTITUTE(FORMULATEXT('Work 5'!C5),"$",""),"Work ","Work"),ROW($Z$1:$Z$700),1)&lt;&gt;".")*(1-(CODE(MID(SUBSTITUTE(SUBSTITUTE(FORMULATEXT('Work 5'!C5),"$",""),"Work ","Work"),ROW($Z$1:$Z$700),1)&amp;" ")&gt;47)*(CODE(MID(SUBSTITUTE(SUBSTITUTE(FORMULATEXT('Work 5'!C5),"$",""),"Work ","Work"),ROW($Z$1:$Z$700),1)&amp;" ")&lt;51)*(1-(CODE(MID(SUBSTITUTE(SUBSTITUTE(FORMULATEXT('Work 5'!C5),"$",""),"Work ","Work")&amp;" ",ROW($Z$1:$Z$700)+1,1)&amp;" ")&gt;47)*(CODE(MID(SUBSTITUTE(SUBSTITUTE(FORMULATEXT('Work 5'!C5),"$",""),"Work ","Work")&amp;" ",ROW($Z$1:$Z$700)+1,1)&amp;" ")&lt;58))*(MID(SUBSTITUTE(SUBSTITUTE(FORMULATEXT('Work 5'!C5),"$",""),"Work ","Work")&amp;" ",ROW($Z$1:$Z$700)+1,1)&lt;&gt;"."))*(1-(MID(SUBSTITUTE(SUBSTITUTE(FORMULATEXT('Work 5'!C5),"$",""),"Work ","Work"),ROW($Z$1:$Z$700),4)="1000")*(1-(CODE(MID(SUBSTITUTE(SUBSTITUTE(FORMULATEXT('Work 5'!C5),"$",""),"Work ","Work")&amp;"     ",ROW($Z$1:$Z$700)+4,1)&amp;" ")&gt;47)*(CODE(MID(SUBSTITUTE(SUBSTITUTE(FORMULATEXT('Work 5'!C5),"$",""),"Work ","Work")&amp;"     ",ROW($Z$1:$Z$700)+4,1)&amp;" ")&lt;58))*(MID(SUBSTITUTE(SUBSTITUTE(FORMULATEXT('Work 5'!C5),"$",""),"Work ","Work")&amp;"     ",ROW($Z$1:$Z$700)+4,1)&lt;&gt;"."))),0)</f>
        <v/>
      </c>
    </row>
    <row r="46" ht="14.25" customHeight="1" s="54">
      <c r="G46" s="3" t="inlineStr">
        <is>
          <t>Work 5!C6</t>
        </is>
      </c>
      <c r="H46" s="3">
        <f>--NOT(ISNA(FORMULATEXT('Work 5'!C6)))</f>
        <v/>
      </c>
      <c r="I46" s="3">
        <f>IFERROR(SUMPRODUCT((CODE(MID(SUBSTITUTE(SUBSTITUTE(FORMULATEXT('Work 5'!C6),"$",""),"Work ","Work"),ROW($Z$1:$Z$700),1)&amp;" ")&gt;47)*(CODE(MID(SUBSTITUTE(SUBSTITUTE(FORMULATEXT('Work 5'!C6),"$",""),"Work ","Work"),ROW($Z$1:$Z$700),1)&amp;" ")&lt;58)*(1-(CODE(MID(" "&amp;SUBSTITUTE(SUBSTITUTE(FORMULATEXT('Work 5'!C6),"$",""),"Work ","Work"),ROW($Z$1:$Z$700),1)&amp;" ")&gt;47)*(CODE(MID(" "&amp;SUBSTITUTE(SUBSTITUTE(FORMULATEXT('Work 5'!C6),"$",""),"Work ","Work"),ROW($Z$1:$Z$700),1)&amp;" ")&lt;58))*EXACT(UPPER(MID(" "&amp;SUBSTITUTE(SUBSTITUTE(FORMULATEXT('Work 5'!C6),"$",""),"Work ","Work"),ROW($Z$1:$Z$700),1)),LOWER(MID(" "&amp;SUBSTITUTE(SUBSTITUTE(FORMULATEXT('Work 5'!C6),"$",""),"Work ","Work"),ROW($Z$1:$Z$700),1)))*(MID(" "&amp;SUBSTITUTE(SUBSTITUTE(FORMULATEXT('Work 5'!C6),"$",""),"Work ","Work"),ROW($Z$1:$Z$700),1)&lt;&gt;".")*(1-(CODE(MID(SUBSTITUTE(SUBSTITUTE(FORMULATEXT('Work 5'!C6),"$",""),"Work ","Work"),ROW($Z$1:$Z$700),1)&amp;" ")&gt;47)*(CODE(MID(SUBSTITUTE(SUBSTITUTE(FORMULATEXT('Work 5'!C6),"$",""),"Work ","Work"),ROW($Z$1:$Z$700),1)&amp;" ")&lt;51)*(1-(CODE(MID(SUBSTITUTE(SUBSTITUTE(FORMULATEXT('Work 5'!C6),"$",""),"Work ","Work")&amp;" ",ROW($Z$1:$Z$700)+1,1)&amp;" ")&gt;47)*(CODE(MID(SUBSTITUTE(SUBSTITUTE(FORMULATEXT('Work 5'!C6),"$",""),"Work ","Work")&amp;" ",ROW($Z$1:$Z$700)+1,1)&amp;" ")&lt;58))*(MID(SUBSTITUTE(SUBSTITUTE(FORMULATEXT('Work 5'!C6),"$",""),"Work ","Work")&amp;" ",ROW($Z$1:$Z$700)+1,1)&lt;&gt;"."))*(1-(MID(SUBSTITUTE(SUBSTITUTE(FORMULATEXT('Work 5'!C6),"$",""),"Work ","Work"),ROW($Z$1:$Z$700),4)="1000")*(1-(CODE(MID(SUBSTITUTE(SUBSTITUTE(FORMULATEXT('Work 5'!C6),"$",""),"Work ","Work")&amp;"     ",ROW($Z$1:$Z$700)+4,1)&amp;" ")&gt;47)*(CODE(MID(SUBSTITUTE(SUBSTITUTE(FORMULATEXT('Work 5'!C6),"$",""),"Work ","Work")&amp;"     ",ROW($Z$1:$Z$700)+4,1)&amp;" ")&lt;58))*(MID(SUBSTITUTE(SUBSTITUTE(FORMULATEXT('Work 5'!C6),"$",""),"Work ","Work")&amp;"     ",ROW($Z$1:$Z$700)+4,1)&lt;&gt;"."))),0)</f>
        <v/>
      </c>
    </row>
    <row r="47" ht="14.25" customHeight="1" s="54">
      <c r="G47" s="3" t="inlineStr">
        <is>
          <t>Work 5!C7</t>
        </is>
      </c>
      <c r="H47" s="3">
        <f>--NOT(ISNA(FORMULATEXT('Work 5'!C7)))</f>
        <v/>
      </c>
      <c r="I47" s="3">
        <f>IFERROR(SUMPRODUCT((CODE(MID(SUBSTITUTE(SUBSTITUTE(FORMULATEXT('Work 5'!C7),"$",""),"Work ","Work"),ROW($Z$1:$Z$700),1)&amp;" ")&gt;47)*(CODE(MID(SUBSTITUTE(SUBSTITUTE(FORMULATEXT('Work 5'!C7),"$",""),"Work ","Work"),ROW($Z$1:$Z$700),1)&amp;" ")&lt;58)*(1-(CODE(MID(" "&amp;SUBSTITUTE(SUBSTITUTE(FORMULATEXT('Work 5'!C7),"$",""),"Work ","Work"),ROW($Z$1:$Z$700),1)&amp;" ")&gt;47)*(CODE(MID(" "&amp;SUBSTITUTE(SUBSTITUTE(FORMULATEXT('Work 5'!C7),"$",""),"Work ","Work"),ROW($Z$1:$Z$700),1)&amp;" ")&lt;58))*EXACT(UPPER(MID(" "&amp;SUBSTITUTE(SUBSTITUTE(FORMULATEXT('Work 5'!C7),"$",""),"Work ","Work"),ROW($Z$1:$Z$700),1)),LOWER(MID(" "&amp;SUBSTITUTE(SUBSTITUTE(FORMULATEXT('Work 5'!C7),"$",""),"Work ","Work"),ROW($Z$1:$Z$700),1)))*(MID(" "&amp;SUBSTITUTE(SUBSTITUTE(FORMULATEXT('Work 5'!C7),"$",""),"Work ","Work"),ROW($Z$1:$Z$700),1)&lt;&gt;".")*(1-(CODE(MID(SUBSTITUTE(SUBSTITUTE(FORMULATEXT('Work 5'!C7),"$",""),"Work ","Work"),ROW($Z$1:$Z$700),1)&amp;" ")&gt;47)*(CODE(MID(SUBSTITUTE(SUBSTITUTE(FORMULATEXT('Work 5'!C7),"$",""),"Work ","Work"),ROW($Z$1:$Z$700),1)&amp;" ")&lt;51)*(1-(CODE(MID(SUBSTITUTE(SUBSTITUTE(FORMULATEXT('Work 5'!C7),"$",""),"Work ","Work")&amp;" ",ROW($Z$1:$Z$700)+1,1)&amp;" ")&gt;47)*(CODE(MID(SUBSTITUTE(SUBSTITUTE(FORMULATEXT('Work 5'!C7),"$",""),"Work ","Work")&amp;" ",ROW($Z$1:$Z$700)+1,1)&amp;" ")&lt;58))*(MID(SUBSTITUTE(SUBSTITUTE(FORMULATEXT('Work 5'!C7),"$",""),"Work ","Work")&amp;" ",ROW($Z$1:$Z$700)+1,1)&lt;&gt;"."))*(1-(MID(SUBSTITUTE(SUBSTITUTE(FORMULATEXT('Work 5'!C7),"$",""),"Work ","Work"),ROW($Z$1:$Z$700),4)="1000")*(1-(CODE(MID(SUBSTITUTE(SUBSTITUTE(FORMULATEXT('Work 5'!C7),"$",""),"Work ","Work")&amp;"     ",ROW($Z$1:$Z$700)+4,1)&amp;" ")&gt;47)*(CODE(MID(SUBSTITUTE(SUBSTITUTE(FORMULATEXT('Work 5'!C7),"$",""),"Work ","Work")&amp;"     ",ROW($Z$1:$Z$700)+4,1)&amp;" ")&lt;58))*(MID(SUBSTITUTE(SUBSTITUTE(FORMULATEXT('Work 5'!C7),"$",""),"Work ","Work")&amp;"     ",ROW($Z$1:$Z$700)+4,1)&lt;&gt;"."))),0)</f>
        <v/>
      </c>
    </row>
    <row r="48" ht="14.25" customHeight="1" s="54">
      <c r="G48" s="3" t="inlineStr">
        <is>
          <t>Work 5!C8</t>
        </is>
      </c>
      <c r="H48" s="3">
        <f>--NOT(ISNA(FORMULATEXT('Work 5'!C8)))</f>
        <v/>
      </c>
      <c r="I48" s="3">
        <f>IFERROR(SUMPRODUCT((CODE(MID(SUBSTITUTE(SUBSTITUTE(FORMULATEXT('Work 5'!C8),"$",""),"Work ","Work"),ROW($Z$1:$Z$700),1)&amp;" ")&gt;47)*(CODE(MID(SUBSTITUTE(SUBSTITUTE(FORMULATEXT('Work 5'!C8),"$",""),"Work ","Work"),ROW($Z$1:$Z$700),1)&amp;" ")&lt;58)*(1-(CODE(MID(" "&amp;SUBSTITUTE(SUBSTITUTE(FORMULATEXT('Work 5'!C8),"$",""),"Work ","Work"),ROW($Z$1:$Z$700),1)&amp;" ")&gt;47)*(CODE(MID(" "&amp;SUBSTITUTE(SUBSTITUTE(FORMULATEXT('Work 5'!C8),"$",""),"Work ","Work"),ROW($Z$1:$Z$700),1)&amp;" ")&lt;58))*EXACT(UPPER(MID(" "&amp;SUBSTITUTE(SUBSTITUTE(FORMULATEXT('Work 5'!C8),"$",""),"Work ","Work"),ROW($Z$1:$Z$700),1)),LOWER(MID(" "&amp;SUBSTITUTE(SUBSTITUTE(FORMULATEXT('Work 5'!C8),"$",""),"Work ","Work"),ROW($Z$1:$Z$700),1)))*(MID(" "&amp;SUBSTITUTE(SUBSTITUTE(FORMULATEXT('Work 5'!C8),"$",""),"Work ","Work"),ROW($Z$1:$Z$700),1)&lt;&gt;".")*(1-(CODE(MID(SUBSTITUTE(SUBSTITUTE(FORMULATEXT('Work 5'!C8),"$",""),"Work ","Work"),ROW($Z$1:$Z$700),1)&amp;" ")&gt;47)*(CODE(MID(SUBSTITUTE(SUBSTITUTE(FORMULATEXT('Work 5'!C8),"$",""),"Work ","Work"),ROW($Z$1:$Z$700),1)&amp;" ")&lt;51)*(1-(CODE(MID(SUBSTITUTE(SUBSTITUTE(FORMULATEXT('Work 5'!C8),"$",""),"Work ","Work")&amp;" ",ROW($Z$1:$Z$700)+1,1)&amp;" ")&gt;47)*(CODE(MID(SUBSTITUTE(SUBSTITUTE(FORMULATEXT('Work 5'!C8),"$",""),"Work ","Work")&amp;" ",ROW($Z$1:$Z$700)+1,1)&amp;" ")&lt;58))*(MID(SUBSTITUTE(SUBSTITUTE(FORMULATEXT('Work 5'!C8),"$",""),"Work ","Work")&amp;" ",ROW($Z$1:$Z$700)+1,1)&lt;&gt;"."))*(1-(MID(SUBSTITUTE(SUBSTITUTE(FORMULATEXT('Work 5'!C8),"$",""),"Work ","Work"),ROW($Z$1:$Z$700),4)="1000")*(1-(CODE(MID(SUBSTITUTE(SUBSTITUTE(FORMULATEXT('Work 5'!C8),"$",""),"Work ","Work")&amp;"     ",ROW($Z$1:$Z$700)+4,1)&amp;" ")&gt;47)*(CODE(MID(SUBSTITUTE(SUBSTITUTE(FORMULATEXT('Work 5'!C8),"$",""),"Work ","Work")&amp;"     ",ROW($Z$1:$Z$700)+4,1)&amp;" ")&lt;58))*(MID(SUBSTITUTE(SUBSTITUTE(FORMULATEXT('Work 5'!C8),"$",""),"Work ","Work")&amp;"     ",ROW($Z$1:$Z$700)+4,1)&lt;&gt;"."))),0)</f>
        <v/>
      </c>
    </row>
    <row r="49" ht="14.25" customHeight="1" s="54">
      <c r="G49" s="3" t="inlineStr">
        <is>
          <t>Work 6!C5</t>
        </is>
      </c>
      <c r="H49" s="3">
        <f>--NOT(ISNA(FORMULATEXT('Work 6'!C5)))</f>
        <v/>
      </c>
      <c r="I49" s="3">
        <f>IFERROR(SUMPRODUCT((CODE(MID(SUBSTITUTE(SUBSTITUTE(FORMULATEXT('Work 6'!C5),"$",""),"Work ","Work"),ROW($Z$1:$Z$700),1)&amp;" ")&gt;47)*(CODE(MID(SUBSTITUTE(SUBSTITUTE(FORMULATEXT('Work 6'!C5),"$",""),"Work ","Work"),ROW($Z$1:$Z$700),1)&amp;" ")&lt;58)*(1-(CODE(MID(" "&amp;SUBSTITUTE(SUBSTITUTE(FORMULATEXT('Work 6'!C5),"$",""),"Work ","Work"),ROW($Z$1:$Z$700),1)&amp;" ")&gt;47)*(CODE(MID(" "&amp;SUBSTITUTE(SUBSTITUTE(FORMULATEXT('Work 6'!C5),"$",""),"Work ","Work"),ROW($Z$1:$Z$700),1)&amp;" ")&lt;58))*EXACT(UPPER(MID(" "&amp;SUBSTITUTE(SUBSTITUTE(FORMULATEXT('Work 6'!C5),"$",""),"Work ","Work"),ROW($Z$1:$Z$700),1)),LOWER(MID(" "&amp;SUBSTITUTE(SUBSTITUTE(FORMULATEXT('Work 6'!C5),"$",""),"Work ","Work"),ROW($Z$1:$Z$700),1)))*(MID(" "&amp;SUBSTITUTE(SUBSTITUTE(FORMULATEXT('Work 6'!C5),"$",""),"Work ","Work"),ROW($Z$1:$Z$700),1)&lt;&gt;".")*(1-(CODE(MID(SUBSTITUTE(SUBSTITUTE(FORMULATEXT('Work 6'!C5),"$",""),"Work ","Work"),ROW($Z$1:$Z$700),1)&amp;" ")&gt;47)*(CODE(MID(SUBSTITUTE(SUBSTITUTE(FORMULATEXT('Work 6'!C5),"$",""),"Work ","Work"),ROW($Z$1:$Z$700),1)&amp;" ")&lt;51)*(1-(CODE(MID(SUBSTITUTE(SUBSTITUTE(FORMULATEXT('Work 6'!C5),"$",""),"Work ","Work")&amp;" ",ROW($Z$1:$Z$700)+1,1)&amp;" ")&gt;47)*(CODE(MID(SUBSTITUTE(SUBSTITUTE(FORMULATEXT('Work 6'!C5),"$",""),"Work ","Work")&amp;" ",ROW($Z$1:$Z$700)+1,1)&amp;" ")&lt;58))*(MID(SUBSTITUTE(SUBSTITUTE(FORMULATEXT('Work 6'!C5),"$",""),"Work ","Work")&amp;" ",ROW($Z$1:$Z$700)+1,1)&lt;&gt;"."))*(1-(MID(SUBSTITUTE(SUBSTITUTE(FORMULATEXT('Work 6'!C5),"$",""),"Work ","Work"),ROW($Z$1:$Z$700),4)="1000")*(1-(CODE(MID(SUBSTITUTE(SUBSTITUTE(FORMULATEXT('Work 6'!C5),"$",""),"Work ","Work")&amp;"     ",ROW($Z$1:$Z$700)+4,1)&amp;" ")&gt;47)*(CODE(MID(SUBSTITUTE(SUBSTITUTE(FORMULATEXT('Work 6'!C5),"$",""),"Work ","Work")&amp;"     ",ROW($Z$1:$Z$700)+4,1)&amp;" ")&lt;58))*(MID(SUBSTITUTE(SUBSTITUTE(FORMULATEXT('Work 6'!C5),"$",""),"Work ","Work")&amp;"     ",ROW($Z$1:$Z$700)+4,1)&lt;&gt;"."))),0)</f>
        <v/>
      </c>
    </row>
    <row r="50" ht="14.25" customHeight="1" s="54">
      <c r="G50" s="3" t="inlineStr">
        <is>
          <t>Work 6!C6</t>
        </is>
      </c>
      <c r="H50" s="3">
        <f>--NOT(ISNA(FORMULATEXT('Work 6'!C6)))</f>
        <v/>
      </c>
      <c r="I50" s="3">
        <f>IFERROR(SUMPRODUCT((CODE(MID(SUBSTITUTE(SUBSTITUTE(FORMULATEXT('Work 6'!C6),"$",""),"Work ","Work"),ROW($Z$1:$Z$700),1)&amp;" ")&gt;47)*(CODE(MID(SUBSTITUTE(SUBSTITUTE(FORMULATEXT('Work 6'!C6),"$",""),"Work ","Work"),ROW($Z$1:$Z$700),1)&amp;" ")&lt;58)*(1-(CODE(MID(" "&amp;SUBSTITUTE(SUBSTITUTE(FORMULATEXT('Work 6'!C6),"$",""),"Work ","Work"),ROW($Z$1:$Z$700),1)&amp;" ")&gt;47)*(CODE(MID(" "&amp;SUBSTITUTE(SUBSTITUTE(FORMULATEXT('Work 6'!C6),"$",""),"Work ","Work"),ROW($Z$1:$Z$700),1)&amp;" ")&lt;58))*EXACT(UPPER(MID(" "&amp;SUBSTITUTE(SUBSTITUTE(FORMULATEXT('Work 6'!C6),"$",""),"Work ","Work"),ROW($Z$1:$Z$700),1)),LOWER(MID(" "&amp;SUBSTITUTE(SUBSTITUTE(FORMULATEXT('Work 6'!C6),"$",""),"Work ","Work"),ROW($Z$1:$Z$700),1)))*(MID(" "&amp;SUBSTITUTE(SUBSTITUTE(FORMULATEXT('Work 6'!C6),"$",""),"Work ","Work"),ROW($Z$1:$Z$700),1)&lt;&gt;".")*(1-(CODE(MID(SUBSTITUTE(SUBSTITUTE(FORMULATEXT('Work 6'!C6),"$",""),"Work ","Work"),ROW($Z$1:$Z$700),1)&amp;" ")&gt;47)*(CODE(MID(SUBSTITUTE(SUBSTITUTE(FORMULATEXT('Work 6'!C6),"$",""),"Work ","Work"),ROW($Z$1:$Z$700),1)&amp;" ")&lt;51)*(1-(CODE(MID(SUBSTITUTE(SUBSTITUTE(FORMULATEXT('Work 6'!C6),"$",""),"Work ","Work")&amp;" ",ROW($Z$1:$Z$700)+1,1)&amp;" ")&gt;47)*(CODE(MID(SUBSTITUTE(SUBSTITUTE(FORMULATEXT('Work 6'!C6),"$",""),"Work ","Work")&amp;" ",ROW($Z$1:$Z$700)+1,1)&amp;" ")&lt;58))*(MID(SUBSTITUTE(SUBSTITUTE(FORMULATEXT('Work 6'!C6),"$",""),"Work ","Work")&amp;" ",ROW($Z$1:$Z$700)+1,1)&lt;&gt;"."))*(1-(MID(SUBSTITUTE(SUBSTITUTE(FORMULATEXT('Work 6'!C6),"$",""),"Work ","Work"),ROW($Z$1:$Z$700),4)="1000")*(1-(CODE(MID(SUBSTITUTE(SUBSTITUTE(FORMULATEXT('Work 6'!C6),"$",""),"Work ","Work")&amp;"     ",ROW($Z$1:$Z$700)+4,1)&amp;" ")&gt;47)*(CODE(MID(SUBSTITUTE(SUBSTITUTE(FORMULATEXT('Work 6'!C6),"$",""),"Work ","Work")&amp;"     ",ROW($Z$1:$Z$700)+4,1)&amp;" ")&lt;58))*(MID(SUBSTITUTE(SUBSTITUTE(FORMULATEXT('Work 6'!C6),"$",""),"Work ","Work")&amp;"     ",ROW($Z$1:$Z$700)+4,1)&lt;&gt;"."))),0)</f>
        <v/>
      </c>
    </row>
    <row r="51" ht="14.25" customHeight="1" s="54">
      <c r="G51" s="3" t="inlineStr">
        <is>
          <t>Work 6!C7</t>
        </is>
      </c>
      <c r="H51" s="3">
        <f>--NOT(ISNA(FORMULATEXT('Work 6'!C7)))</f>
        <v/>
      </c>
      <c r="I51" s="3">
        <f>IFERROR(SUMPRODUCT((CODE(MID(SUBSTITUTE(SUBSTITUTE(FORMULATEXT('Work 6'!C7),"$",""),"Work ","Work"),ROW($Z$1:$Z$700),1)&amp;" ")&gt;47)*(CODE(MID(SUBSTITUTE(SUBSTITUTE(FORMULATEXT('Work 6'!C7),"$",""),"Work ","Work"),ROW($Z$1:$Z$700),1)&amp;" ")&lt;58)*(1-(CODE(MID(" "&amp;SUBSTITUTE(SUBSTITUTE(FORMULATEXT('Work 6'!C7),"$",""),"Work ","Work"),ROW($Z$1:$Z$700),1)&amp;" ")&gt;47)*(CODE(MID(" "&amp;SUBSTITUTE(SUBSTITUTE(FORMULATEXT('Work 6'!C7),"$",""),"Work ","Work"),ROW($Z$1:$Z$700),1)&amp;" ")&lt;58))*EXACT(UPPER(MID(" "&amp;SUBSTITUTE(SUBSTITUTE(FORMULATEXT('Work 6'!C7),"$",""),"Work ","Work"),ROW($Z$1:$Z$700),1)),LOWER(MID(" "&amp;SUBSTITUTE(SUBSTITUTE(FORMULATEXT('Work 6'!C7),"$",""),"Work ","Work"),ROW($Z$1:$Z$700),1)))*(MID(" "&amp;SUBSTITUTE(SUBSTITUTE(FORMULATEXT('Work 6'!C7),"$",""),"Work ","Work"),ROW($Z$1:$Z$700),1)&lt;&gt;".")*(1-(CODE(MID(SUBSTITUTE(SUBSTITUTE(FORMULATEXT('Work 6'!C7),"$",""),"Work ","Work"),ROW($Z$1:$Z$700),1)&amp;" ")&gt;47)*(CODE(MID(SUBSTITUTE(SUBSTITUTE(FORMULATEXT('Work 6'!C7),"$",""),"Work ","Work"),ROW($Z$1:$Z$700),1)&amp;" ")&lt;51)*(1-(CODE(MID(SUBSTITUTE(SUBSTITUTE(FORMULATEXT('Work 6'!C7),"$",""),"Work ","Work")&amp;" ",ROW($Z$1:$Z$700)+1,1)&amp;" ")&gt;47)*(CODE(MID(SUBSTITUTE(SUBSTITUTE(FORMULATEXT('Work 6'!C7),"$",""),"Work ","Work")&amp;" ",ROW($Z$1:$Z$700)+1,1)&amp;" ")&lt;58))*(MID(SUBSTITUTE(SUBSTITUTE(FORMULATEXT('Work 6'!C7),"$",""),"Work ","Work")&amp;" ",ROW($Z$1:$Z$700)+1,1)&lt;&gt;"."))*(1-(MID(SUBSTITUTE(SUBSTITUTE(FORMULATEXT('Work 6'!C7),"$",""),"Work ","Work"),ROW($Z$1:$Z$700),4)="1000")*(1-(CODE(MID(SUBSTITUTE(SUBSTITUTE(FORMULATEXT('Work 6'!C7),"$",""),"Work ","Work")&amp;"     ",ROW($Z$1:$Z$700)+4,1)&amp;" ")&gt;47)*(CODE(MID(SUBSTITUTE(SUBSTITUTE(FORMULATEXT('Work 6'!C7),"$",""),"Work ","Work")&amp;"     ",ROW($Z$1:$Z$700)+4,1)&amp;" ")&lt;58))*(MID(SUBSTITUTE(SUBSTITUTE(FORMULATEXT('Work 6'!C7),"$",""),"Work ","Work")&amp;"     ",ROW($Z$1:$Z$700)+4,1)&lt;&gt;"."))),0)</f>
        <v/>
      </c>
    </row>
    <row r="52" ht="14.25" customHeight="1" s="54">
      <c r="G52" s="3" t="inlineStr">
        <is>
          <t>Work 6!C8</t>
        </is>
      </c>
      <c r="H52" s="3">
        <f>--NOT(ISNA(FORMULATEXT('Work 6'!C8)))</f>
        <v/>
      </c>
      <c r="I52" s="3">
        <f>IFERROR(SUMPRODUCT((CODE(MID(SUBSTITUTE(SUBSTITUTE(FORMULATEXT('Work 6'!C8),"$",""),"Work ","Work"),ROW($Z$1:$Z$700),1)&amp;" ")&gt;47)*(CODE(MID(SUBSTITUTE(SUBSTITUTE(FORMULATEXT('Work 6'!C8),"$",""),"Work ","Work"),ROW($Z$1:$Z$700),1)&amp;" ")&lt;58)*(1-(CODE(MID(" "&amp;SUBSTITUTE(SUBSTITUTE(FORMULATEXT('Work 6'!C8),"$",""),"Work ","Work"),ROW($Z$1:$Z$700),1)&amp;" ")&gt;47)*(CODE(MID(" "&amp;SUBSTITUTE(SUBSTITUTE(FORMULATEXT('Work 6'!C8),"$",""),"Work ","Work"),ROW($Z$1:$Z$700),1)&amp;" ")&lt;58))*EXACT(UPPER(MID(" "&amp;SUBSTITUTE(SUBSTITUTE(FORMULATEXT('Work 6'!C8),"$",""),"Work ","Work"),ROW($Z$1:$Z$700),1)),LOWER(MID(" "&amp;SUBSTITUTE(SUBSTITUTE(FORMULATEXT('Work 6'!C8),"$",""),"Work ","Work"),ROW($Z$1:$Z$700),1)))*(MID(" "&amp;SUBSTITUTE(SUBSTITUTE(FORMULATEXT('Work 6'!C8),"$",""),"Work ","Work"),ROW($Z$1:$Z$700),1)&lt;&gt;".")*(1-(CODE(MID(SUBSTITUTE(SUBSTITUTE(FORMULATEXT('Work 6'!C8),"$",""),"Work ","Work"),ROW($Z$1:$Z$700),1)&amp;" ")&gt;47)*(CODE(MID(SUBSTITUTE(SUBSTITUTE(FORMULATEXT('Work 6'!C8),"$",""),"Work ","Work"),ROW($Z$1:$Z$700),1)&amp;" ")&lt;51)*(1-(CODE(MID(SUBSTITUTE(SUBSTITUTE(FORMULATEXT('Work 6'!C8),"$",""),"Work ","Work")&amp;" ",ROW($Z$1:$Z$700)+1,1)&amp;" ")&gt;47)*(CODE(MID(SUBSTITUTE(SUBSTITUTE(FORMULATEXT('Work 6'!C8),"$",""),"Work ","Work")&amp;" ",ROW($Z$1:$Z$700)+1,1)&amp;" ")&lt;58))*(MID(SUBSTITUTE(SUBSTITUTE(FORMULATEXT('Work 6'!C8),"$",""),"Work ","Work")&amp;" ",ROW($Z$1:$Z$700)+1,1)&lt;&gt;"."))*(1-(MID(SUBSTITUTE(SUBSTITUTE(FORMULATEXT('Work 6'!C8),"$",""),"Work ","Work"),ROW($Z$1:$Z$700),4)="1000")*(1-(CODE(MID(SUBSTITUTE(SUBSTITUTE(FORMULATEXT('Work 6'!C8),"$",""),"Work ","Work")&amp;"     ",ROW($Z$1:$Z$700)+4,1)&amp;" ")&gt;47)*(CODE(MID(SUBSTITUTE(SUBSTITUTE(FORMULATEXT('Work 6'!C8),"$",""),"Work ","Work")&amp;"     ",ROW($Z$1:$Z$700)+4,1)&amp;" ")&lt;58))*(MID(SUBSTITUTE(SUBSTITUTE(FORMULATEXT('Work 6'!C8),"$",""),"Work ","Work")&amp;"     ",ROW($Z$1:$Z$700)+4,1)&lt;&gt;"."))),0)</f>
        <v/>
      </c>
    </row>
    <row r="53" ht="14.25" customHeight="1" s="54">
      <c r="G53" s="3" t="inlineStr">
        <is>
          <t>Work 6!C9</t>
        </is>
      </c>
      <c r="H53" s="3">
        <f>--NOT(ISNA(FORMULATEXT('Work 6'!C9)))</f>
        <v/>
      </c>
      <c r="I53" s="3">
        <f>IFERROR(SUMPRODUCT((CODE(MID(SUBSTITUTE(SUBSTITUTE(FORMULATEXT('Work 6'!C9),"$",""),"Work ","Work"),ROW($Z$1:$Z$700),1)&amp;" ")&gt;47)*(CODE(MID(SUBSTITUTE(SUBSTITUTE(FORMULATEXT('Work 6'!C9),"$",""),"Work ","Work"),ROW($Z$1:$Z$700),1)&amp;" ")&lt;58)*(1-(CODE(MID(" "&amp;SUBSTITUTE(SUBSTITUTE(FORMULATEXT('Work 6'!C9),"$",""),"Work ","Work"),ROW($Z$1:$Z$700),1)&amp;" ")&gt;47)*(CODE(MID(" "&amp;SUBSTITUTE(SUBSTITUTE(FORMULATEXT('Work 6'!C9),"$",""),"Work ","Work"),ROW($Z$1:$Z$700),1)&amp;" ")&lt;58))*EXACT(UPPER(MID(" "&amp;SUBSTITUTE(SUBSTITUTE(FORMULATEXT('Work 6'!C9),"$",""),"Work ","Work"),ROW($Z$1:$Z$700),1)),LOWER(MID(" "&amp;SUBSTITUTE(SUBSTITUTE(FORMULATEXT('Work 6'!C9),"$",""),"Work ","Work"),ROW($Z$1:$Z$700),1)))*(MID(" "&amp;SUBSTITUTE(SUBSTITUTE(FORMULATEXT('Work 6'!C9),"$",""),"Work ","Work"),ROW($Z$1:$Z$700),1)&lt;&gt;".")*(1-(CODE(MID(SUBSTITUTE(SUBSTITUTE(FORMULATEXT('Work 6'!C9),"$",""),"Work ","Work"),ROW($Z$1:$Z$700),1)&amp;" ")&gt;47)*(CODE(MID(SUBSTITUTE(SUBSTITUTE(FORMULATEXT('Work 6'!C9),"$",""),"Work ","Work"),ROW($Z$1:$Z$700),1)&amp;" ")&lt;51)*(1-(CODE(MID(SUBSTITUTE(SUBSTITUTE(FORMULATEXT('Work 6'!C9),"$",""),"Work ","Work")&amp;" ",ROW($Z$1:$Z$700)+1,1)&amp;" ")&gt;47)*(CODE(MID(SUBSTITUTE(SUBSTITUTE(FORMULATEXT('Work 6'!C9),"$",""),"Work ","Work")&amp;" ",ROW($Z$1:$Z$700)+1,1)&amp;" ")&lt;58))*(MID(SUBSTITUTE(SUBSTITUTE(FORMULATEXT('Work 6'!C9),"$",""),"Work ","Work")&amp;" ",ROW($Z$1:$Z$700)+1,1)&lt;&gt;"."))*(1-(MID(SUBSTITUTE(SUBSTITUTE(FORMULATEXT('Work 6'!C9),"$",""),"Work ","Work"),ROW($Z$1:$Z$700),4)="1000")*(1-(CODE(MID(SUBSTITUTE(SUBSTITUTE(FORMULATEXT('Work 6'!C9),"$",""),"Work ","Work")&amp;"     ",ROW($Z$1:$Z$700)+4,1)&amp;" ")&gt;47)*(CODE(MID(SUBSTITUTE(SUBSTITUTE(FORMULATEXT('Work 6'!C9),"$",""),"Work ","Work")&amp;"     ",ROW($Z$1:$Z$700)+4,1)&amp;" ")&lt;58))*(MID(SUBSTITUTE(SUBSTITUTE(FORMULATEXT('Work 6'!C9),"$",""),"Work ","Work")&amp;"     ",ROW($Z$1:$Z$700)+4,1)&lt;&gt;"."))),0)</f>
        <v/>
      </c>
    </row>
    <row r="54" ht="14.25" customHeight="1" s="54"/>
    <row r="55" ht="14.25" customHeight="1" s="54"/>
    <row r="56" ht="14.25" customHeight="1" s="54"/>
    <row r="57" ht="14.25" customHeight="1" s="54"/>
    <row r="58" ht="14.25" customHeight="1" s="54"/>
    <row r="59" ht="14.25" customHeight="1" s="54"/>
    <row r="60" ht="14.25" customHeight="1" s="54"/>
    <row r="61" ht="14.25" customHeight="1" s="54"/>
    <row r="62" ht="14.25" customHeight="1" s="54"/>
    <row r="63" ht="14.25" customHeight="1" s="54"/>
    <row r="64" ht="14.25" customHeight="1" s="54"/>
    <row r="65" ht="14.25" customHeight="1" s="54"/>
    <row r="66" ht="14.25" customHeight="1" s="54"/>
    <row r="67" ht="14.25" customHeight="1" s="54"/>
    <row r="68" ht="14.25" customHeight="1" s="54"/>
    <row r="69" ht="14.25" customHeight="1" s="54"/>
    <row r="70" ht="14.25" customHeight="1" s="54"/>
    <row r="71" ht="14.25" customHeight="1" s="54"/>
    <row r="72" ht="14.25" customHeight="1" s="54"/>
    <row r="73" ht="14.25" customHeight="1" s="54"/>
    <row r="74" ht="14.25" customHeight="1" s="54"/>
    <row r="75" ht="14.25" customHeight="1" s="54"/>
    <row r="76" ht="14.25" customHeight="1" s="54"/>
    <row r="77" ht="14.25" customHeight="1" s="54"/>
    <row r="78" ht="14.25" customHeight="1" s="54"/>
    <row r="79" ht="14.25" customHeight="1" s="54"/>
    <row r="80" ht="14.25" customHeight="1" s="54"/>
    <row r="81" ht="14.25" customHeight="1" s="54"/>
    <row r="82" ht="14.25" customHeight="1" s="54"/>
    <row r="83" ht="14.25" customHeight="1" s="54"/>
    <row r="84" ht="14.25" customHeight="1" s="54"/>
    <row r="85" ht="14.25" customHeight="1" s="54"/>
    <row r="86" ht="14.25" customHeight="1" s="54"/>
    <row r="87" ht="14.25" customHeight="1" s="54"/>
    <row r="88" ht="14.25" customHeight="1" s="54"/>
    <row r="89" ht="14.25" customHeight="1" s="54"/>
    <row r="90" ht="14.25" customHeight="1" s="54"/>
    <row r="91" ht="14.25" customHeight="1" s="54"/>
    <row r="92" ht="14.25" customHeight="1" s="54"/>
    <row r="93" ht="14.25" customHeight="1" s="54"/>
    <row r="94" ht="14.25" customHeight="1" s="54"/>
    <row r="95" ht="14.25" customHeight="1" s="54"/>
    <row r="96" ht="14.25" customHeight="1" s="54"/>
    <row r="97" ht="14.25" customHeight="1" s="54"/>
    <row r="98" ht="14.25" customHeight="1" s="54"/>
    <row r="99" ht="14.25" customHeight="1" s="54"/>
    <row r="100" ht="14.25" customHeight="1" s="54"/>
    <row r="101" ht="14.25" customHeight="1" s="54"/>
    <row r="102" ht="14.25" customHeight="1" s="54"/>
    <row r="103" ht="14.25" customHeight="1" s="54"/>
    <row r="104" ht="14.25" customHeight="1" s="54"/>
    <row r="105" ht="14.25" customHeight="1" s="54"/>
    <row r="106" ht="14.25" customHeight="1" s="54"/>
    <row r="107" ht="14.25" customHeight="1" s="54"/>
    <row r="108" ht="14.25" customHeight="1" s="54"/>
    <row r="109" ht="14.25" customHeight="1" s="54"/>
    <row r="110" ht="14.25" customHeight="1" s="54"/>
    <row r="111" ht="14.25" customHeight="1" s="54"/>
    <row r="112" ht="14.25" customHeight="1" s="54"/>
    <row r="113" ht="14.25" customHeight="1" s="54"/>
    <row r="114" ht="14.25" customHeight="1" s="54"/>
    <row r="115" ht="14.25" customHeight="1" s="54"/>
    <row r="116" ht="14.25" customHeight="1" s="54"/>
    <row r="117" ht="14.25" customHeight="1" s="54"/>
    <row r="118" ht="14.25" customHeight="1" s="54"/>
    <row r="119" ht="14.25" customHeight="1" s="54"/>
    <row r="120" ht="14.25" customHeight="1" s="54"/>
    <row r="121" ht="14.25" customHeight="1" s="54"/>
    <row r="122" ht="14.25" customHeight="1" s="54"/>
    <row r="123" ht="14.25" customHeight="1" s="54"/>
    <row r="124" ht="14.25" customHeight="1" s="54"/>
    <row r="125" ht="14.25" customHeight="1" s="54"/>
    <row r="126" ht="14.25" customHeight="1" s="54"/>
    <row r="127" ht="14.25" customHeight="1" s="54"/>
    <row r="128" ht="14.25" customHeight="1" s="54"/>
    <row r="129" ht="14.25" customHeight="1" s="54"/>
    <row r="130" ht="14.25" customHeight="1" s="54"/>
    <row r="131" ht="14.25" customHeight="1" s="54"/>
    <row r="132" ht="14.25" customHeight="1" s="54"/>
    <row r="133" ht="14.25" customHeight="1" s="54"/>
    <row r="134" ht="14.25" customHeight="1" s="54"/>
    <row r="135" ht="14.25" customHeight="1" s="54"/>
    <row r="136" ht="14.25" customHeight="1" s="54"/>
    <row r="137" ht="14.25" customHeight="1" s="54"/>
    <row r="138" ht="14.25" customHeight="1" s="54"/>
    <row r="139" ht="14.25" customHeight="1" s="54"/>
    <row r="140" ht="14.25" customHeight="1" s="54"/>
    <row r="141" ht="14.25" customHeight="1" s="54"/>
    <row r="142" ht="14.25" customHeight="1" s="54"/>
    <row r="143" ht="14.25" customHeight="1" s="54"/>
    <row r="144" ht="14.25" customHeight="1" s="54"/>
    <row r="145" ht="14.25" customHeight="1" s="54"/>
    <row r="146" ht="14.25" customHeight="1" s="54"/>
    <row r="147" ht="14.25" customHeight="1" s="54"/>
    <row r="148" ht="14.25" customHeight="1" s="54"/>
    <row r="149" ht="14.25" customHeight="1" s="54"/>
    <row r="150" ht="14.25" customHeight="1" s="54"/>
    <row r="151" ht="14.25" customHeight="1" s="54"/>
    <row r="152" ht="14.25" customHeight="1" s="54"/>
    <row r="153" ht="14.25" customHeight="1" s="54"/>
    <row r="154" ht="14.25" customHeight="1" s="54"/>
    <row r="155" ht="14.25" customHeight="1" s="54"/>
    <row r="156" ht="14.25" customHeight="1" s="54"/>
    <row r="157" ht="14.25" customHeight="1" s="54"/>
    <row r="158" ht="14.25" customHeight="1" s="54"/>
    <row r="159" ht="14.25" customHeight="1" s="54"/>
    <row r="160" ht="14.25" customHeight="1" s="54"/>
    <row r="161" ht="14.25" customHeight="1" s="54"/>
    <row r="162" ht="14.25" customHeight="1" s="54"/>
    <row r="163" ht="14.25" customHeight="1" s="54"/>
    <row r="164" ht="14.25" customHeight="1" s="54"/>
    <row r="165" ht="14.25" customHeight="1" s="54"/>
    <row r="166" ht="14.25" customHeight="1" s="54"/>
    <row r="167" ht="14.25" customHeight="1" s="54"/>
    <row r="168" ht="14.25" customHeight="1" s="54"/>
    <row r="169" ht="14.25" customHeight="1" s="54"/>
    <row r="170" ht="14.25" customHeight="1" s="54"/>
    <row r="171" ht="14.25" customHeight="1" s="54"/>
    <row r="172" ht="14.25" customHeight="1" s="54"/>
    <row r="173" ht="14.25" customHeight="1" s="54"/>
    <row r="174" ht="14.25" customHeight="1" s="54"/>
    <row r="175" ht="14.25" customHeight="1" s="54"/>
    <row r="176" ht="14.25" customHeight="1" s="54"/>
    <row r="177" ht="14.25" customHeight="1" s="54"/>
    <row r="178" ht="14.25" customHeight="1" s="54"/>
    <row r="179" ht="14.25" customHeight="1" s="54"/>
    <row r="180" ht="14.25" customHeight="1" s="54"/>
    <row r="181" ht="14.25" customHeight="1" s="54"/>
    <row r="182" ht="14.25" customHeight="1" s="54"/>
    <row r="183" ht="14.25" customHeight="1" s="54"/>
    <row r="184" ht="14.25" customHeight="1" s="54"/>
    <row r="185" ht="14.25" customHeight="1" s="54"/>
    <row r="186" ht="14.25" customHeight="1" s="54"/>
    <row r="187" ht="14.25" customHeight="1" s="54"/>
    <row r="188" ht="14.25" customHeight="1" s="54"/>
    <row r="189" ht="14.25" customHeight="1" s="54"/>
    <row r="190" ht="14.25" customHeight="1" s="54"/>
    <row r="191" ht="14.25" customHeight="1" s="54"/>
    <row r="192" ht="14.25" customHeight="1" s="54"/>
    <row r="193" ht="14.25" customHeight="1" s="54"/>
    <row r="194" ht="14.25" customHeight="1" s="54"/>
    <row r="195" ht="14.25" customHeight="1" s="54"/>
    <row r="196" ht="14.25" customHeight="1" s="54"/>
    <row r="197" ht="14.25" customHeight="1" s="54"/>
    <row r="198" ht="14.25" customHeight="1" s="54"/>
    <row r="199" ht="14.25" customHeight="1" s="54"/>
    <row r="200" ht="14.25" customHeight="1" s="54"/>
    <row r="201" ht="14.25" customHeight="1" s="54"/>
    <row r="202" ht="14.25" customHeight="1" s="54"/>
    <row r="203" ht="14.25" customHeight="1" s="54"/>
    <row r="204" ht="14.25" customHeight="1" s="54"/>
    <row r="205" ht="14.25" customHeight="1" s="54"/>
    <row r="206" ht="14.25" customHeight="1" s="54"/>
    <row r="207" ht="14.25" customHeight="1" s="54"/>
    <row r="208" ht="14.25" customHeight="1" s="54"/>
    <row r="209" ht="14.25" customHeight="1" s="54"/>
    <row r="210" ht="14.25" customHeight="1" s="54"/>
    <row r="211" ht="14.25" customHeight="1" s="54"/>
    <row r="212" ht="14.25" customHeight="1" s="54"/>
    <row r="213" ht="14.25" customHeight="1" s="54"/>
    <row r="214" ht="14.25" customHeight="1" s="54"/>
    <row r="215" ht="14.25" customHeight="1" s="54"/>
    <row r="216" ht="14.25" customHeight="1" s="54"/>
    <row r="217" ht="14.25" customHeight="1" s="54"/>
    <row r="218" ht="14.25" customHeight="1" s="54"/>
    <row r="219" ht="14.25" customHeight="1" s="54"/>
    <row r="220" ht="14.25" customHeight="1" s="54"/>
    <row r="221" ht="14.25" customHeight="1" s="54"/>
    <row r="222" ht="14.25" customHeight="1" s="54"/>
    <row r="223" ht="14.25" customHeight="1" s="54"/>
    <row r="224" ht="14.25" customHeight="1" s="54"/>
    <row r="225" ht="14.25" customHeight="1" s="54"/>
    <row r="226" ht="14.25" customHeight="1" s="54"/>
    <row r="227" ht="14.25" customHeight="1" s="54"/>
    <row r="228" ht="14.25" customHeight="1" s="54"/>
    <row r="229" ht="14.25" customHeight="1" s="54"/>
    <row r="230" ht="14.25" customHeight="1" s="54"/>
    <row r="231" ht="14.25" customHeight="1" s="54"/>
    <row r="232" ht="14.25" customHeight="1" s="54"/>
    <row r="233" ht="14.25" customHeight="1" s="54"/>
    <row r="234" ht="14.25" customHeight="1" s="54"/>
    <row r="235" ht="14.25" customHeight="1" s="54"/>
    <row r="236" ht="14.25" customHeight="1" s="54"/>
    <row r="237" ht="14.25" customHeight="1" s="54"/>
    <row r="238" ht="14.25" customHeight="1" s="54"/>
    <row r="239" ht="14.25" customHeight="1" s="54"/>
    <row r="240" ht="14.25" customHeight="1" s="54"/>
    <row r="241" ht="14.25" customHeight="1" s="54"/>
    <row r="242" ht="14.25" customHeight="1" s="54"/>
    <row r="243" ht="14.25" customHeight="1" s="54"/>
    <row r="244" ht="14.25" customHeight="1" s="54"/>
    <row r="245" ht="14.25" customHeight="1" s="54"/>
    <row r="246" ht="14.25" customHeight="1" s="54"/>
    <row r="247" ht="14.25" customHeight="1" s="54"/>
    <row r="248" ht="14.25" customHeight="1" s="54"/>
    <row r="249" ht="14.25" customHeight="1" s="54"/>
    <row r="250" ht="14.25" customHeight="1" s="54"/>
    <row r="251" ht="14.25" customHeight="1" s="54"/>
    <row r="252" ht="14.25" customHeight="1" s="54"/>
    <row r="253" ht="14.25" customHeight="1" s="54"/>
    <row r="254" ht="14.25" customHeight="1" s="54"/>
    <row r="255" ht="14.25" customHeight="1" s="54"/>
    <row r="256" ht="14.25" customHeight="1" s="54"/>
    <row r="257" ht="14.25" customHeight="1" s="54"/>
    <row r="258" ht="14.25" customHeight="1" s="54"/>
    <row r="259" ht="14.25" customHeight="1" s="54"/>
    <row r="260" ht="14.25" customHeight="1" s="54"/>
    <row r="261" ht="14.25" customHeight="1" s="54"/>
    <row r="262" ht="14.25" customHeight="1" s="54"/>
    <row r="263" ht="14.25" customHeight="1" s="54"/>
    <row r="264" ht="14.25" customHeight="1" s="54"/>
    <row r="265" ht="14.25" customHeight="1" s="54"/>
    <row r="266" ht="14.25" customHeight="1" s="54"/>
    <row r="267" ht="14.25" customHeight="1" s="54"/>
    <row r="268" ht="14.25" customHeight="1" s="54"/>
    <row r="269" ht="14.25" customHeight="1" s="54"/>
    <row r="270" ht="14.25" customHeight="1" s="54"/>
    <row r="271" ht="14.25" customHeight="1" s="54"/>
    <row r="272" ht="14.25" customHeight="1" s="54"/>
    <row r="273" ht="14.25" customHeight="1" s="54"/>
    <row r="274" ht="14.25" customHeight="1" s="54"/>
    <row r="275" ht="14.25" customHeight="1" s="54"/>
    <row r="276" ht="14.25" customHeight="1" s="54"/>
    <row r="277" ht="14.25" customHeight="1" s="54"/>
    <row r="278" ht="14.25" customHeight="1" s="54"/>
    <row r="279" ht="14.25" customHeight="1" s="54"/>
    <row r="280" ht="14.25" customHeight="1" s="54"/>
    <row r="281" ht="14.25" customHeight="1" s="54"/>
    <row r="282" ht="14.25" customHeight="1" s="54"/>
    <row r="283" ht="14.25" customHeight="1" s="54"/>
    <row r="284" ht="14.25" customHeight="1" s="54"/>
    <row r="285" ht="14.25" customHeight="1" s="54"/>
    <row r="286" ht="14.25" customHeight="1" s="54"/>
    <row r="287" ht="14.25" customHeight="1" s="54"/>
    <row r="288" ht="14.25" customHeight="1" s="54"/>
    <row r="289" ht="14.25" customHeight="1" s="54"/>
    <row r="290" ht="14.25" customHeight="1" s="54"/>
    <row r="291" ht="14.25" customHeight="1" s="54"/>
    <row r="292" ht="14.25" customHeight="1" s="54"/>
    <row r="293" ht="14.25" customHeight="1" s="54"/>
    <row r="294" ht="14.25" customHeight="1" s="54"/>
    <row r="295" ht="14.25" customHeight="1" s="54"/>
    <row r="296" ht="14.25" customHeight="1" s="54"/>
    <row r="297" ht="14.25" customHeight="1" s="54"/>
    <row r="298" ht="14.25" customHeight="1" s="54"/>
    <row r="299" ht="14.25" customHeight="1" s="54"/>
    <row r="300" ht="14.25" customHeight="1" s="54"/>
    <row r="301" ht="14.25" customHeight="1" s="54"/>
    <row r="302" ht="14.25" customHeight="1" s="54"/>
    <row r="303" ht="14.25" customHeight="1" s="54"/>
    <row r="304" ht="14.25" customHeight="1" s="54"/>
    <row r="305" ht="14.25" customHeight="1" s="54"/>
    <row r="306" ht="14.25" customHeight="1" s="54"/>
    <row r="307" ht="14.25" customHeight="1" s="54"/>
    <row r="308" ht="14.25" customHeight="1" s="54"/>
    <row r="309" ht="14.25" customHeight="1" s="54"/>
    <row r="310" ht="14.25" customHeight="1" s="54"/>
    <row r="311" ht="14.25" customHeight="1" s="54"/>
    <row r="312" ht="14.25" customHeight="1" s="54"/>
    <row r="313" ht="14.25" customHeight="1" s="54"/>
    <row r="314" ht="14.25" customHeight="1" s="54"/>
    <row r="315" ht="14.25" customHeight="1" s="54"/>
    <row r="316" ht="14.25" customHeight="1" s="54"/>
    <row r="317" ht="14.25" customHeight="1" s="54"/>
    <row r="318" ht="14.25" customHeight="1" s="54"/>
    <row r="319" ht="14.25" customHeight="1" s="54"/>
    <row r="320" ht="14.25" customHeight="1" s="54"/>
    <row r="321" ht="14.25" customHeight="1" s="54"/>
    <row r="322" ht="14.25" customHeight="1" s="54"/>
    <row r="323" ht="14.25" customHeight="1" s="54"/>
    <row r="324" ht="14.25" customHeight="1" s="54"/>
    <row r="325" ht="14.25" customHeight="1" s="54"/>
    <row r="326" ht="14.25" customHeight="1" s="54"/>
    <row r="327" ht="14.25" customHeight="1" s="54"/>
    <row r="328" ht="14.25" customHeight="1" s="54"/>
    <row r="329" ht="14.25" customHeight="1" s="54"/>
    <row r="330" ht="14.25" customHeight="1" s="54"/>
    <row r="331" ht="14.25" customHeight="1" s="54"/>
    <row r="332" ht="14.25" customHeight="1" s="54"/>
    <row r="333" ht="14.25" customHeight="1" s="54"/>
    <row r="334" ht="14.25" customHeight="1" s="54"/>
    <row r="335" ht="14.25" customHeight="1" s="54"/>
    <row r="336" ht="14.25" customHeight="1" s="54"/>
    <row r="337" ht="14.25" customHeight="1" s="54"/>
    <row r="338" ht="14.25" customHeight="1" s="54"/>
    <row r="339" ht="14.25" customHeight="1" s="54"/>
    <row r="340" ht="14.25" customHeight="1" s="54"/>
    <row r="341" ht="14.25" customHeight="1" s="54"/>
    <row r="342" ht="14.25" customHeight="1" s="54"/>
    <row r="343" ht="14.25" customHeight="1" s="54"/>
    <row r="344" ht="14.25" customHeight="1" s="54"/>
    <row r="345" ht="14.25" customHeight="1" s="54"/>
    <row r="346" ht="14.25" customHeight="1" s="54"/>
    <row r="347" ht="14.25" customHeight="1" s="54"/>
    <row r="348" ht="14.25" customHeight="1" s="54"/>
    <row r="349" ht="14.25" customHeight="1" s="54"/>
    <row r="350" ht="14.25" customHeight="1" s="54"/>
    <row r="351" ht="14.25" customHeight="1" s="54"/>
    <row r="352" ht="14.25" customHeight="1" s="54"/>
    <row r="353" ht="14.25" customHeight="1" s="54"/>
    <row r="354" ht="14.25" customHeight="1" s="54"/>
    <row r="355" ht="14.25" customHeight="1" s="54"/>
    <row r="356" ht="14.25" customHeight="1" s="54"/>
    <row r="357" ht="14.25" customHeight="1" s="54"/>
    <row r="358" ht="14.25" customHeight="1" s="54"/>
    <row r="359" ht="14.25" customHeight="1" s="54"/>
    <row r="360" ht="14.25" customHeight="1" s="54"/>
    <row r="361" ht="14.25" customHeight="1" s="54"/>
    <row r="362" ht="14.25" customHeight="1" s="54"/>
    <row r="363" ht="14.25" customHeight="1" s="54"/>
    <row r="364" ht="14.25" customHeight="1" s="54"/>
    <row r="365" ht="14.25" customHeight="1" s="54"/>
    <row r="366" ht="14.25" customHeight="1" s="54"/>
    <row r="367" ht="14.25" customHeight="1" s="54"/>
    <row r="368" ht="14.25" customHeight="1" s="54"/>
    <row r="369" ht="14.25" customHeight="1" s="54"/>
    <row r="370" ht="14.25" customHeight="1" s="54"/>
    <row r="371" ht="14.25" customHeight="1" s="54"/>
    <row r="372" ht="14.25" customHeight="1" s="54"/>
    <row r="373" ht="14.25" customHeight="1" s="54"/>
    <row r="374" ht="14.25" customHeight="1" s="54"/>
    <row r="375" ht="14.25" customHeight="1" s="54"/>
    <row r="376" ht="14.25" customHeight="1" s="54"/>
    <row r="377" ht="14.25" customHeight="1" s="54"/>
    <row r="378" ht="14.25" customHeight="1" s="54"/>
    <row r="379" ht="14.25" customHeight="1" s="54"/>
    <row r="380" ht="14.25" customHeight="1" s="54"/>
    <row r="381" ht="14.25" customHeight="1" s="54"/>
    <row r="382" ht="14.25" customHeight="1" s="54"/>
    <row r="383" ht="14.25" customHeight="1" s="54"/>
    <row r="384" ht="14.25" customHeight="1" s="54"/>
    <row r="385" ht="14.25" customHeight="1" s="54"/>
    <row r="386" ht="14.25" customHeight="1" s="54"/>
    <row r="387" ht="14.25" customHeight="1" s="54"/>
    <row r="388" ht="14.25" customHeight="1" s="54"/>
    <row r="389" ht="14.25" customHeight="1" s="54"/>
    <row r="390" ht="14.25" customHeight="1" s="54"/>
    <row r="391" ht="14.25" customHeight="1" s="54"/>
    <row r="392" ht="14.25" customHeight="1" s="54"/>
    <row r="393" ht="14.25" customHeight="1" s="54"/>
    <row r="394" ht="14.25" customHeight="1" s="54"/>
    <row r="395" ht="14.25" customHeight="1" s="54"/>
    <row r="396" ht="14.25" customHeight="1" s="54"/>
    <row r="397" ht="14.25" customHeight="1" s="54"/>
    <row r="398" ht="14.25" customHeight="1" s="54"/>
    <row r="399" ht="14.25" customHeight="1" s="54"/>
    <row r="400" ht="14.25" customHeight="1" s="54"/>
    <row r="401" ht="14.25" customHeight="1" s="54"/>
    <row r="402" ht="14.25" customHeight="1" s="54"/>
    <row r="403" ht="14.25" customHeight="1" s="54"/>
    <row r="404" ht="14.25" customHeight="1" s="54"/>
    <row r="405" ht="14.25" customHeight="1" s="54"/>
    <row r="406" ht="14.25" customHeight="1" s="54"/>
    <row r="407" ht="14.25" customHeight="1" s="54"/>
    <row r="408" ht="14.25" customHeight="1" s="54"/>
    <row r="409" ht="14.25" customHeight="1" s="54"/>
    <row r="410" ht="14.25" customHeight="1" s="54"/>
    <row r="411" ht="14.25" customHeight="1" s="54"/>
    <row r="412" ht="14.25" customHeight="1" s="54"/>
    <row r="413" ht="14.25" customHeight="1" s="54"/>
    <row r="414" ht="14.25" customHeight="1" s="54"/>
    <row r="415" ht="14.25" customHeight="1" s="54"/>
    <row r="416" ht="14.25" customHeight="1" s="54"/>
    <row r="417" ht="14.25" customHeight="1" s="54"/>
    <row r="418" ht="14.25" customHeight="1" s="54"/>
    <row r="419" ht="14.25" customHeight="1" s="54"/>
    <row r="420" ht="14.25" customHeight="1" s="54"/>
    <row r="421" ht="14.25" customHeight="1" s="54"/>
    <row r="422" ht="14.25" customHeight="1" s="54"/>
    <row r="423" ht="14.25" customHeight="1" s="54"/>
    <row r="424" ht="14.25" customHeight="1" s="54"/>
    <row r="425" ht="14.25" customHeight="1" s="54"/>
    <row r="426" ht="14.25" customHeight="1" s="54"/>
    <row r="427" ht="14.25" customHeight="1" s="54"/>
    <row r="428" ht="14.25" customHeight="1" s="54"/>
    <row r="429" ht="14.25" customHeight="1" s="54"/>
    <row r="430" ht="14.25" customHeight="1" s="54"/>
    <row r="431" ht="14.25" customHeight="1" s="54"/>
    <row r="432" ht="14.25" customHeight="1" s="54"/>
    <row r="433" ht="14.25" customHeight="1" s="54"/>
    <row r="434" ht="14.25" customHeight="1" s="54"/>
    <row r="435" ht="14.25" customHeight="1" s="54"/>
    <row r="436" ht="14.25" customHeight="1" s="54"/>
    <row r="437" ht="14.25" customHeight="1" s="54"/>
    <row r="438" ht="14.25" customHeight="1" s="54"/>
    <row r="439" ht="14.25" customHeight="1" s="54"/>
    <row r="440" ht="14.25" customHeight="1" s="54"/>
    <row r="441" ht="14.25" customHeight="1" s="54"/>
    <row r="442" ht="14.25" customHeight="1" s="54"/>
    <row r="443" ht="14.25" customHeight="1" s="54"/>
    <row r="444" ht="14.25" customHeight="1" s="54"/>
    <row r="445" ht="14.25" customHeight="1" s="54"/>
    <row r="446" ht="14.25" customHeight="1" s="54"/>
    <row r="447" ht="14.25" customHeight="1" s="54"/>
    <row r="448" ht="14.25" customHeight="1" s="54"/>
    <row r="449" ht="14.25" customHeight="1" s="54"/>
    <row r="450" ht="14.25" customHeight="1" s="54"/>
    <row r="451" ht="14.25" customHeight="1" s="54"/>
    <row r="452" ht="14.25" customHeight="1" s="54"/>
    <row r="453" ht="14.25" customHeight="1" s="54"/>
    <row r="454" ht="14.25" customHeight="1" s="54"/>
    <row r="455" ht="14.25" customHeight="1" s="54"/>
    <row r="456" ht="14.25" customHeight="1" s="54"/>
    <row r="457" ht="14.25" customHeight="1" s="54"/>
    <row r="458" ht="14.25" customHeight="1" s="54"/>
    <row r="459" ht="14.25" customHeight="1" s="54"/>
    <row r="460" ht="14.25" customHeight="1" s="54"/>
    <row r="461" ht="14.25" customHeight="1" s="54"/>
    <row r="462" ht="14.25" customHeight="1" s="54"/>
    <row r="463" ht="14.25" customHeight="1" s="54"/>
    <row r="464" ht="14.25" customHeight="1" s="54"/>
    <row r="465" ht="14.25" customHeight="1" s="54"/>
    <row r="466" ht="14.25" customHeight="1" s="54"/>
    <row r="467" ht="14.25" customHeight="1" s="54"/>
    <row r="468" ht="14.25" customHeight="1" s="54"/>
    <row r="469" ht="14.25" customHeight="1" s="54"/>
    <row r="470" ht="14.25" customHeight="1" s="54"/>
    <row r="471" ht="14.25" customHeight="1" s="54"/>
    <row r="472" ht="14.25" customHeight="1" s="54"/>
    <row r="473" ht="14.25" customHeight="1" s="54"/>
    <row r="474" ht="14.25" customHeight="1" s="54"/>
    <row r="475" ht="14.25" customHeight="1" s="54"/>
    <row r="476" ht="14.25" customHeight="1" s="54"/>
    <row r="477" ht="14.25" customHeight="1" s="54"/>
    <row r="478" ht="14.25" customHeight="1" s="54"/>
    <row r="479" ht="14.25" customHeight="1" s="54"/>
    <row r="480" ht="14.25" customHeight="1" s="54"/>
    <row r="481" ht="14.25" customHeight="1" s="54"/>
    <row r="482" ht="14.25" customHeight="1" s="54"/>
    <row r="483" ht="14.25" customHeight="1" s="54"/>
    <row r="484" ht="14.25" customHeight="1" s="54"/>
    <row r="485" ht="14.25" customHeight="1" s="54"/>
    <row r="486" ht="14.25" customHeight="1" s="54"/>
    <row r="487" ht="14.25" customHeight="1" s="54"/>
    <row r="488" ht="14.25" customHeight="1" s="54"/>
    <row r="489" ht="14.25" customHeight="1" s="54"/>
    <row r="490" ht="14.25" customHeight="1" s="54"/>
    <row r="491" ht="14.25" customHeight="1" s="54"/>
    <row r="492" ht="14.25" customHeight="1" s="54"/>
    <row r="493" ht="14.25" customHeight="1" s="54"/>
    <row r="494" ht="14.25" customHeight="1" s="54"/>
    <row r="495" ht="14.25" customHeight="1" s="54"/>
    <row r="496" ht="14.25" customHeight="1" s="54"/>
    <row r="497" ht="14.25" customHeight="1" s="54"/>
    <row r="498" ht="14.25" customHeight="1" s="54"/>
    <row r="499" ht="14.25" customHeight="1" s="54"/>
    <row r="500" ht="14.25" customHeight="1" s="54"/>
    <row r="501" ht="14.25" customHeight="1" s="54"/>
    <row r="502" ht="14.25" customHeight="1" s="54"/>
    <row r="503" ht="14.25" customHeight="1" s="54"/>
    <row r="504" ht="14.25" customHeight="1" s="54"/>
    <row r="505" ht="14.25" customHeight="1" s="54"/>
    <row r="506" ht="14.25" customHeight="1" s="54"/>
    <row r="507" ht="14.25" customHeight="1" s="54"/>
    <row r="508" ht="14.25" customHeight="1" s="54"/>
    <row r="509" ht="14.25" customHeight="1" s="54"/>
    <row r="510" ht="14.25" customHeight="1" s="54"/>
    <row r="511" ht="14.25" customHeight="1" s="54"/>
    <row r="512" ht="14.25" customHeight="1" s="54"/>
    <row r="513" ht="14.25" customHeight="1" s="54"/>
    <row r="514" ht="14.25" customHeight="1" s="54"/>
    <row r="515" ht="14.25" customHeight="1" s="54"/>
    <row r="516" ht="14.25" customHeight="1" s="54"/>
    <row r="517" ht="14.25" customHeight="1" s="54"/>
    <row r="518" ht="14.25" customHeight="1" s="54"/>
    <row r="519" ht="14.25" customHeight="1" s="54"/>
    <row r="520" ht="14.25" customHeight="1" s="54"/>
    <row r="521" ht="14.25" customHeight="1" s="54"/>
    <row r="522" ht="14.25" customHeight="1" s="54"/>
    <row r="523" ht="14.25" customHeight="1" s="54"/>
    <row r="524" ht="14.25" customHeight="1" s="54"/>
    <row r="525" ht="14.25" customHeight="1" s="54"/>
    <row r="526" ht="14.25" customHeight="1" s="54"/>
    <row r="527" ht="14.25" customHeight="1" s="54"/>
    <row r="528" ht="14.25" customHeight="1" s="54"/>
    <row r="529" ht="14.25" customHeight="1" s="54"/>
    <row r="530" ht="14.25" customHeight="1" s="54"/>
    <row r="531" ht="14.25" customHeight="1" s="54"/>
    <row r="532" ht="14.25" customHeight="1" s="54"/>
    <row r="533" ht="14.25" customHeight="1" s="54"/>
    <row r="534" ht="14.25" customHeight="1" s="54"/>
    <row r="535" ht="14.25" customHeight="1" s="54"/>
    <row r="536" ht="14.25" customHeight="1" s="54"/>
    <row r="537" ht="14.25" customHeight="1" s="54"/>
    <row r="538" ht="14.25" customHeight="1" s="54"/>
    <row r="539" ht="14.25" customHeight="1" s="54"/>
    <row r="540" ht="14.25" customHeight="1" s="54"/>
    <row r="541" ht="14.25" customHeight="1" s="54"/>
    <row r="542" ht="14.25" customHeight="1" s="54"/>
    <row r="543" ht="14.25" customHeight="1" s="54"/>
    <row r="544" ht="14.25" customHeight="1" s="54"/>
    <row r="545" ht="14.25" customHeight="1" s="54"/>
    <row r="546" ht="14.25" customHeight="1" s="54"/>
    <row r="547" ht="14.25" customHeight="1" s="54"/>
    <row r="548" ht="14.25" customHeight="1" s="54"/>
    <row r="549" ht="14.25" customHeight="1" s="54"/>
    <row r="550" ht="14.25" customHeight="1" s="54"/>
    <row r="551" ht="14.25" customHeight="1" s="54"/>
    <row r="552" ht="14.25" customHeight="1" s="54"/>
    <row r="553" ht="14.25" customHeight="1" s="54"/>
    <row r="554" ht="14.25" customHeight="1" s="54"/>
    <row r="555" ht="14.25" customHeight="1" s="54"/>
    <row r="556" ht="14.25" customHeight="1" s="54"/>
    <row r="557" ht="14.25" customHeight="1" s="54"/>
    <row r="558" ht="14.25" customHeight="1" s="54"/>
    <row r="559" ht="14.25" customHeight="1" s="54"/>
    <row r="560" ht="14.25" customHeight="1" s="54"/>
    <row r="561" ht="14.25" customHeight="1" s="54"/>
    <row r="562" ht="14.25" customHeight="1" s="54"/>
    <row r="563" ht="14.25" customHeight="1" s="54"/>
    <row r="564" ht="14.25" customHeight="1" s="54"/>
    <row r="565" ht="14.25" customHeight="1" s="54"/>
    <row r="566" ht="14.25" customHeight="1" s="54"/>
    <row r="567" ht="14.25" customHeight="1" s="54"/>
    <row r="568" ht="14.25" customHeight="1" s="54"/>
    <row r="569" ht="14.25" customHeight="1" s="54"/>
    <row r="570" ht="14.25" customHeight="1" s="54"/>
    <row r="571" ht="14.25" customHeight="1" s="54"/>
    <row r="572" ht="14.25" customHeight="1" s="54"/>
    <row r="573" ht="14.25" customHeight="1" s="54"/>
    <row r="574" ht="14.25" customHeight="1" s="54"/>
    <row r="575" ht="14.25" customHeight="1" s="54"/>
    <row r="576" ht="14.25" customHeight="1" s="54"/>
    <row r="577" ht="14.25" customHeight="1" s="54"/>
    <row r="578" ht="14.25" customHeight="1" s="54"/>
    <row r="579" ht="14.25" customHeight="1" s="54"/>
    <row r="580" ht="14.25" customHeight="1" s="54"/>
    <row r="581" ht="14.25" customHeight="1" s="54"/>
    <row r="582" ht="14.25" customHeight="1" s="54"/>
    <row r="583" ht="14.25" customHeight="1" s="54"/>
    <row r="584" ht="14.25" customHeight="1" s="54"/>
    <row r="585" ht="14.25" customHeight="1" s="54"/>
    <row r="586" ht="14.25" customHeight="1" s="54"/>
    <row r="587" ht="14.25" customHeight="1" s="54"/>
    <row r="588" ht="14.25" customHeight="1" s="54"/>
    <row r="589" ht="14.25" customHeight="1" s="54"/>
    <row r="590" ht="14.25" customHeight="1" s="54"/>
    <row r="591" ht="14.25" customHeight="1" s="54"/>
    <row r="592" ht="14.25" customHeight="1" s="54"/>
    <row r="593" ht="14.25" customHeight="1" s="54"/>
    <row r="594" ht="14.25" customHeight="1" s="54"/>
    <row r="595" ht="14.25" customHeight="1" s="54"/>
    <row r="596" ht="14.25" customHeight="1" s="54"/>
    <row r="597" ht="14.25" customHeight="1" s="54"/>
    <row r="598" ht="14.25" customHeight="1" s="54"/>
    <row r="599" ht="14.25" customHeight="1" s="54"/>
    <row r="600" ht="14.25" customHeight="1" s="54"/>
    <row r="601" ht="14.25" customHeight="1" s="54"/>
    <row r="602" ht="14.25" customHeight="1" s="54"/>
    <row r="603" ht="14.25" customHeight="1" s="54"/>
    <row r="604" ht="14.25" customHeight="1" s="54"/>
    <row r="605" ht="14.25" customHeight="1" s="54"/>
    <row r="606" ht="14.25" customHeight="1" s="54"/>
    <row r="607" ht="14.25" customHeight="1" s="54"/>
    <row r="608" ht="14.25" customHeight="1" s="54"/>
    <row r="609" ht="14.25" customHeight="1" s="54"/>
    <row r="610" ht="14.25" customHeight="1" s="54"/>
    <row r="611" ht="14.25" customHeight="1" s="54"/>
    <row r="612" ht="14.25" customHeight="1" s="54"/>
    <row r="613" ht="14.25" customHeight="1" s="54"/>
    <row r="614" ht="14.25" customHeight="1" s="54"/>
    <row r="615" ht="14.25" customHeight="1" s="54"/>
    <row r="616" ht="14.25" customHeight="1" s="54"/>
    <row r="617" ht="14.25" customHeight="1" s="54"/>
    <row r="618" ht="14.25" customHeight="1" s="54"/>
    <row r="619" ht="14.25" customHeight="1" s="54"/>
    <row r="620" ht="14.25" customHeight="1" s="54"/>
    <row r="621" ht="14.25" customHeight="1" s="54"/>
    <row r="622" ht="14.25" customHeight="1" s="54"/>
    <row r="623" ht="14.25" customHeight="1" s="54"/>
    <row r="624" ht="14.25" customHeight="1" s="54"/>
    <row r="625" ht="14.25" customHeight="1" s="54"/>
    <row r="626" ht="14.25" customHeight="1" s="54"/>
    <row r="627" ht="14.25" customHeight="1" s="54"/>
    <row r="628" ht="14.25" customHeight="1" s="54"/>
    <row r="629" ht="14.25" customHeight="1" s="54"/>
    <row r="630" ht="14.25" customHeight="1" s="54"/>
    <row r="631" ht="14.25" customHeight="1" s="54"/>
    <row r="632" ht="14.25" customHeight="1" s="54"/>
    <row r="633" ht="14.25" customHeight="1" s="54"/>
    <row r="634" ht="14.25" customHeight="1" s="54"/>
    <row r="635" ht="14.25" customHeight="1" s="54"/>
    <row r="636" ht="14.25" customHeight="1" s="54"/>
    <row r="637" ht="14.25" customHeight="1" s="54"/>
    <row r="638" ht="14.25" customHeight="1" s="54"/>
    <row r="639" ht="14.25" customHeight="1" s="54"/>
    <row r="640" ht="14.25" customHeight="1" s="54"/>
    <row r="641" ht="14.25" customHeight="1" s="54"/>
    <row r="642" ht="14.25" customHeight="1" s="54"/>
    <row r="643" ht="14.25" customHeight="1" s="54"/>
    <row r="644" ht="14.25" customHeight="1" s="54"/>
    <row r="645" ht="14.25" customHeight="1" s="54"/>
    <row r="646" ht="14.25" customHeight="1" s="54"/>
    <row r="647" ht="14.25" customHeight="1" s="54"/>
    <row r="648" ht="14.25" customHeight="1" s="54"/>
    <row r="649" ht="14.25" customHeight="1" s="54"/>
    <row r="650" ht="14.25" customHeight="1" s="54"/>
    <row r="651" ht="14.25" customHeight="1" s="54"/>
    <row r="652" ht="14.25" customHeight="1" s="54"/>
    <row r="653" ht="14.25" customHeight="1" s="54"/>
    <row r="654" ht="14.25" customHeight="1" s="54"/>
    <row r="655" ht="14.25" customHeight="1" s="54"/>
    <row r="656" ht="14.25" customHeight="1" s="54"/>
    <row r="657" ht="14.25" customHeight="1" s="54"/>
    <row r="658" ht="14.25" customHeight="1" s="54"/>
    <row r="659" ht="14.25" customHeight="1" s="54"/>
    <row r="660" ht="14.25" customHeight="1" s="54"/>
    <row r="661" ht="14.25" customHeight="1" s="54"/>
    <row r="662" ht="14.25" customHeight="1" s="54"/>
    <row r="663" ht="14.25" customHeight="1" s="54"/>
    <row r="664" ht="14.25" customHeight="1" s="54"/>
    <row r="665" ht="14.25" customHeight="1" s="54"/>
    <row r="666" ht="14.25" customHeight="1" s="54"/>
    <row r="667" ht="14.25" customHeight="1" s="54"/>
    <row r="668" ht="14.25" customHeight="1" s="54"/>
    <row r="669" ht="14.25" customHeight="1" s="54"/>
    <row r="670" ht="14.25" customHeight="1" s="54"/>
    <row r="671" ht="14.25" customHeight="1" s="54"/>
    <row r="672" ht="14.25" customHeight="1" s="54"/>
    <row r="673" ht="14.25" customHeight="1" s="54"/>
    <row r="674" ht="14.25" customHeight="1" s="54"/>
    <row r="675" ht="14.25" customHeight="1" s="54"/>
    <row r="676" ht="14.25" customHeight="1" s="54"/>
    <row r="677" ht="14.25" customHeight="1" s="54"/>
    <row r="678" ht="14.25" customHeight="1" s="54"/>
    <row r="679" ht="14.25" customHeight="1" s="54"/>
    <row r="680" ht="14.25" customHeight="1" s="54"/>
    <row r="681" ht="14.25" customHeight="1" s="54"/>
    <row r="682" ht="14.25" customHeight="1" s="54"/>
    <row r="683" ht="14.25" customHeight="1" s="54"/>
    <row r="684" ht="14.25" customHeight="1" s="54"/>
    <row r="685" ht="14.25" customHeight="1" s="54"/>
    <row r="686" ht="14.25" customHeight="1" s="54"/>
    <row r="687" ht="14.25" customHeight="1" s="54"/>
    <row r="688" ht="14.25" customHeight="1" s="54"/>
    <row r="689" ht="14.25" customHeight="1" s="54"/>
    <row r="690" ht="14.25" customHeight="1" s="54"/>
    <row r="691" ht="14.25" customHeight="1" s="54"/>
    <row r="692" ht="14.25" customHeight="1" s="54"/>
    <row r="693" ht="14.25" customHeight="1" s="54"/>
    <row r="694" ht="14.25" customHeight="1" s="54"/>
    <row r="695" ht="14.25" customHeight="1" s="54"/>
    <row r="696" ht="14.25" customHeight="1" s="54"/>
    <row r="697" ht="14.25" customHeight="1" s="54"/>
    <row r="698" ht="14.25" customHeight="1" s="54"/>
    <row r="699" ht="14.25" customHeight="1" s="54"/>
    <row r="700" ht="14.25" customHeight="1" s="54"/>
    <row r="701" ht="14.25" customHeight="1" s="54"/>
    <row r="702" ht="14.25" customHeight="1" s="54"/>
    <row r="703" ht="14.25" customHeight="1" s="54"/>
    <row r="704" ht="14.25" customHeight="1" s="54"/>
    <row r="705" ht="14.25" customHeight="1" s="54"/>
    <row r="706" ht="14.25" customHeight="1" s="54"/>
    <row r="707" ht="14.25" customHeight="1" s="54"/>
    <row r="708" ht="14.25" customHeight="1" s="54"/>
    <row r="709" ht="14.25" customHeight="1" s="54"/>
    <row r="710" ht="14.25" customHeight="1" s="54"/>
    <row r="711" ht="14.25" customHeight="1" s="54"/>
    <row r="712" ht="14.25" customHeight="1" s="54"/>
    <row r="713" ht="14.25" customHeight="1" s="54"/>
    <row r="714" ht="14.25" customHeight="1" s="54"/>
    <row r="715" ht="14.25" customHeight="1" s="54"/>
    <row r="716" ht="14.25" customHeight="1" s="54"/>
    <row r="717" ht="14.25" customHeight="1" s="54"/>
    <row r="718" ht="14.25" customHeight="1" s="54"/>
    <row r="719" ht="14.25" customHeight="1" s="54"/>
    <row r="720" ht="14.25" customHeight="1" s="54"/>
    <row r="721" ht="14.25" customHeight="1" s="54"/>
    <row r="722" ht="14.25" customHeight="1" s="54"/>
    <row r="723" ht="14.25" customHeight="1" s="54"/>
    <row r="724" ht="14.25" customHeight="1" s="54"/>
    <row r="725" ht="14.25" customHeight="1" s="54"/>
    <row r="726" ht="14.25" customHeight="1" s="54"/>
    <row r="727" ht="14.25" customHeight="1" s="54"/>
    <row r="728" ht="14.25" customHeight="1" s="54"/>
    <row r="729" ht="14.25" customHeight="1" s="54"/>
    <row r="730" ht="14.25" customHeight="1" s="54"/>
    <row r="731" ht="14.25" customHeight="1" s="54"/>
    <row r="732" ht="14.25" customHeight="1" s="54"/>
    <row r="733" ht="14.25" customHeight="1" s="54"/>
    <row r="734" ht="14.25" customHeight="1" s="54"/>
    <row r="735" ht="14.25" customHeight="1" s="54"/>
    <row r="736" ht="14.25" customHeight="1" s="54"/>
    <row r="737" ht="14.25" customHeight="1" s="54"/>
    <row r="738" ht="14.25" customHeight="1" s="54"/>
    <row r="739" ht="14.25" customHeight="1" s="54"/>
    <row r="740" ht="14.25" customHeight="1" s="54"/>
    <row r="741" ht="14.25" customHeight="1" s="54"/>
    <row r="742" ht="14.25" customHeight="1" s="54"/>
    <row r="743" ht="14.25" customHeight="1" s="54"/>
    <row r="744" ht="14.25" customHeight="1" s="54"/>
    <row r="745" ht="14.25" customHeight="1" s="54"/>
    <row r="746" ht="14.25" customHeight="1" s="54"/>
    <row r="747" ht="14.25" customHeight="1" s="54"/>
    <row r="748" ht="14.25" customHeight="1" s="54"/>
    <row r="749" ht="14.25" customHeight="1" s="54"/>
    <row r="750" ht="14.25" customHeight="1" s="54"/>
    <row r="751" ht="14.25" customHeight="1" s="54"/>
    <row r="752" ht="14.25" customHeight="1" s="54"/>
    <row r="753" ht="14.25" customHeight="1" s="54"/>
    <row r="754" ht="14.25" customHeight="1" s="54"/>
    <row r="755" ht="14.25" customHeight="1" s="54"/>
    <row r="756" ht="14.25" customHeight="1" s="54"/>
    <row r="757" ht="14.25" customHeight="1" s="54"/>
    <row r="758" ht="14.25" customHeight="1" s="54"/>
    <row r="759" ht="14.25" customHeight="1" s="54"/>
    <row r="760" ht="14.25" customHeight="1" s="54"/>
    <row r="761" ht="14.25" customHeight="1" s="54"/>
    <row r="762" ht="14.25" customHeight="1" s="54"/>
    <row r="763" ht="14.25" customHeight="1" s="54"/>
    <row r="764" ht="14.25" customHeight="1" s="54"/>
    <row r="765" ht="14.25" customHeight="1" s="54"/>
    <row r="766" ht="14.25" customHeight="1" s="54"/>
    <row r="767" ht="14.25" customHeight="1" s="54"/>
    <row r="768" ht="14.25" customHeight="1" s="54"/>
    <row r="769" ht="14.25" customHeight="1" s="54"/>
    <row r="770" ht="14.25" customHeight="1" s="54"/>
    <row r="771" ht="14.25" customHeight="1" s="54"/>
    <row r="772" ht="14.25" customHeight="1" s="54"/>
    <row r="773" ht="14.25" customHeight="1" s="54"/>
    <row r="774" ht="14.25" customHeight="1" s="54"/>
    <row r="775" ht="14.25" customHeight="1" s="54"/>
    <row r="776" ht="14.25" customHeight="1" s="54"/>
    <row r="777" ht="14.25" customHeight="1" s="54"/>
    <row r="778" ht="14.25" customHeight="1" s="54"/>
    <row r="779" ht="14.25" customHeight="1" s="54"/>
    <row r="780" ht="14.25" customHeight="1" s="54"/>
    <row r="781" ht="14.25" customHeight="1" s="54"/>
    <row r="782" ht="14.25" customHeight="1" s="54"/>
    <row r="783" ht="14.25" customHeight="1" s="54"/>
    <row r="784" ht="14.25" customHeight="1" s="54"/>
    <row r="785" ht="14.25" customHeight="1" s="54"/>
    <row r="786" ht="14.25" customHeight="1" s="54"/>
    <row r="787" ht="14.25" customHeight="1" s="54"/>
    <row r="788" ht="14.25" customHeight="1" s="54"/>
    <row r="789" ht="14.25" customHeight="1" s="54"/>
    <row r="790" ht="14.25" customHeight="1" s="54"/>
    <row r="791" ht="14.25" customHeight="1" s="54"/>
    <row r="792" ht="14.25" customHeight="1" s="54"/>
    <row r="793" ht="14.25" customHeight="1" s="54"/>
    <row r="794" ht="14.25" customHeight="1" s="54"/>
    <row r="795" ht="14.25" customHeight="1" s="54"/>
    <row r="796" ht="14.25" customHeight="1" s="54"/>
    <row r="797" ht="14.25" customHeight="1" s="54"/>
    <row r="798" ht="14.25" customHeight="1" s="54"/>
    <row r="799" ht="14.25" customHeight="1" s="54"/>
    <row r="800" ht="14.25" customHeight="1" s="54"/>
    <row r="801" ht="14.25" customHeight="1" s="54"/>
    <row r="802" ht="14.25" customHeight="1" s="54"/>
    <row r="803" ht="14.25" customHeight="1" s="54"/>
    <row r="804" ht="14.25" customHeight="1" s="54"/>
    <row r="805" ht="14.25" customHeight="1" s="54"/>
    <row r="806" ht="14.25" customHeight="1" s="54"/>
    <row r="807" ht="14.25" customHeight="1" s="54"/>
    <row r="808" ht="14.25" customHeight="1" s="54"/>
    <row r="809" ht="14.25" customHeight="1" s="54"/>
    <row r="810" ht="14.25" customHeight="1" s="54"/>
    <row r="811" ht="14.25" customHeight="1" s="54"/>
    <row r="812" ht="14.25" customHeight="1" s="54"/>
    <row r="813" ht="14.25" customHeight="1" s="54"/>
    <row r="814" ht="14.25" customHeight="1" s="54"/>
    <row r="815" ht="14.25" customHeight="1" s="54"/>
    <row r="816" ht="14.25" customHeight="1" s="54"/>
    <row r="817" ht="14.25" customHeight="1" s="54"/>
    <row r="818" ht="14.25" customHeight="1" s="54"/>
    <row r="819" ht="14.25" customHeight="1" s="54"/>
    <row r="820" ht="14.25" customHeight="1" s="54"/>
    <row r="821" ht="14.25" customHeight="1" s="54"/>
    <row r="822" ht="14.25" customHeight="1" s="54"/>
    <row r="823" ht="14.25" customHeight="1" s="54"/>
    <row r="824" ht="14.25" customHeight="1" s="54"/>
    <row r="825" ht="14.25" customHeight="1" s="54"/>
    <row r="826" ht="14.25" customHeight="1" s="54"/>
    <row r="827" ht="14.25" customHeight="1" s="54"/>
    <row r="828" ht="14.25" customHeight="1" s="54"/>
    <row r="829" ht="14.25" customHeight="1" s="54"/>
    <row r="830" ht="14.25" customHeight="1" s="54"/>
    <row r="831" ht="14.25" customHeight="1" s="54"/>
    <row r="832" ht="14.25" customHeight="1" s="54"/>
    <row r="833" ht="14.25" customHeight="1" s="54"/>
    <row r="834" ht="14.25" customHeight="1" s="54"/>
    <row r="835" ht="14.25" customHeight="1" s="54"/>
    <row r="836" ht="14.25" customHeight="1" s="54"/>
    <row r="837" ht="14.25" customHeight="1" s="54"/>
    <row r="838" ht="14.25" customHeight="1" s="54"/>
    <row r="839" ht="14.25" customHeight="1" s="54"/>
    <row r="840" ht="14.25" customHeight="1" s="54"/>
    <row r="841" ht="14.25" customHeight="1" s="54"/>
    <row r="842" ht="14.25" customHeight="1" s="54"/>
    <row r="843" ht="14.25" customHeight="1" s="54"/>
    <row r="844" ht="14.25" customHeight="1" s="54"/>
    <row r="845" ht="14.25" customHeight="1" s="54"/>
    <row r="846" ht="14.25" customHeight="1" s="54"/>
    <row r="847" ht="14.25" customHeight="1" s="54"/>
    <row r="848" ht="14.25" customHeight="1" s="54"/>
    <row r="849" ht="14.25" customHeight="1" s="54"/>
    <row r="850" ht="14.25" customHeight="1" s="54"/>
    <row r="851" ht="14.25" customHeight="1" s="54"/>
    <row r="852" ht="14.25" customHeight="1" s="54"/>
    <row r="853" ht="14.25" customHeight="1" s="54"/>
    <row r="854" ht="14.25" customHeight="1" s="54"/>
    <row r="855" ht="14.25" customHeight="1" s="54"/>
    <row r="856" ht="14.25" customHeight="1" s="54"/>
    <row r="857" ht="14.25" customHeight="1" s="54"/>
    <row r="858" ht="14.25" customHeight="1" s="54"/>
    <row r="859" ht="14.25" customHeight="1" s="54"/>
    <row r="860" ht="14.25" customHeight="1" s="54"/>
    <row r="861" ht="14.25" customHeight="1" s="54"/>
    <row r="862" ht="14.25" customHeight="1" s="54"/>
    <row r="863" ht="14.25" customHeight="1" s="54"/>
    <row r="864" ht="14.25" customHeight="1" s="54"/>
    <row r="865" ht="14.25" customHeight="1" s="54"/>
    <row r="866" ht="14.25" customHeight="1" s="54"/>
    <row r="867" ht="14.25" customHeight="1" s="54"/>
    <row r="868" ht="14.25" customHeight="1" s="54"/>
    <row r="869" ht="14.25" customHeight="1" s="54"/>
    <row r="870" ht="14.25" customHeight="1" s="54"/>
    <row r="871" ht="14.25" customHeight="1" s="54"/>
    <row r="872" ht="14.25" customHeight="1" s="54"/>
    <row r="873" ht="14.25" customHeight="1" s="54"/>
    <row r="874" ht="14.25" customHeight="1" s="54"/>
    <row r="875" ht="14.25" customHeight="1" s="54"/>
    <row r="876" ht="14.25" customHeight="1" s="54"/>
    <row r="877" ht="14.25" customHeight="1" s="54"/>
    <row r="878" ht="14.25" customHeight="1" s="54"/>
    <row r="879" ht="14.25" customHeight="1" s="54"/>
    <row r="880" ht="14.25" customHeight="1" s="54"/>
    <row r="881" ht="14.25" customHeight="1" s="54"/>
    <row r="882" ht="14.25" customHeight="1" s="54"/>
    <row r="883" ht="14.25" customHeight="1" s="54"/>
    <row r="884" ht="14.25" customHeight="1" s="54"/>
    <row r="885" ht="14.25" customHeight="1" s="54"/>
    <row r="886" ht="14.25" customHeight="1" s="54"/>
    <row r="887" ht="14.25" customHeight="1" s="54"/>
    <row r="888" ht="14.25" customHeight="1" s="54"/>
    <row r="889" ht="14.25" customHeight="1" s="54"/>
    <row r="890" ht="14.25" customHeight="1" s="54"/>
    <row r="891" ht="14.25" customHeight="1" s="54"/>
    <row r="892" ht="14.25" customHeight="1" s="54"/>
    <row r="893" ht="14.25" customHeight="1" s="54"/>
    <row r="894" ht="14.25" customHeight="1" s="54"/>
    <row r="895" ht="14.25" customHeight="1" s="54"/>
    <row r="896" ht="14.25" customHeight="1" s="54"/>
    <row r="897" ht="14.25" customHeight="1" s="54"/>
    <row r="898" ht="14.25" customHeight="1" s="54"/>
    <row r="899" ht="14.25" customHeight="1" s="54"/>
    <row r="900" ht="14.25" customHeight="1" s="54"/>
    <row r="901" ht="14.25" customHeight="1" s="54"/>
    <row r="902" ht="14.25" customHeight="1" s="54"/>
    <row r="903" ht="14.25" customHeight="1" s="54"/>
    <row r="904" ht="14.25" customHeight="1" s="54"/>
    <row r="905" ht="14.25" customHeight="1" s="54"/>
    <row r="906" ht="14.25" customHeight="1" s="54"/>
    <row r="907" ht="14.25" customHeight="1" s="54"/>
    <row r="908" ht="14.25" customHeight="1" s="54"/>
    <row r="909" ht="14.25" customHeight="1" s="54"/>
    <row r="910" ht="14.25" customHeight="1" s="54"/>
    <row r="911" ht="14.25" customHeight="1" s="54"/>
    <row r="912" ht="14.25" customHeight="1" s="54"/>
    <row r="913" ht="14.25" customHeight="1" s="54"/>
    <row r="914" ht="14.25" customHeight="1" s="54"/>
    <row r="915" ht="14.25" customHeight="1" s="54"/>
    <row r="916" ht="14.25" customHeight="1" s="54"/>
    <row r="917" ht="14.25" customHeight="1" s="54"/>
    <row r="918" ht="14.25" customHeight="1" s="54"/>
    <row r="919" ht="14.25" customHeight="1" s="54"/>
    <row r="920" ht="14.25" customHeight="1" s="54"/>
    <row r="921" ht="14.25" customHeight="1" s="54"/>
    <row r="922" ht="14.25" customHeight="1" s="54"/>
    <row r="923" ht="14.25" customHeight="1" s="54"/>
    <row r="924" ht="14.25" customHeight="1" s="54"/>
    <row r="925" ht="14.25" customHeight="1" s="54"/>
    <row r="926" ht="14.25" customHeight="1" s="54"/>
    <row r="927" ht="14.25" customHeight="1" s="54"/>
    <row r="928" ht="14.25" customHeight="1" s="54"/>
    <row r="929" ht="14.25" customHeight="1" s="54"/>
    <row r="930" ht="14.25" customHeight="1" s="54"/>
    <row r="931" ht="14.25" customHeight="1" s="54"/>
    <row r="932" ht="14.25" customHeight="1" s="54"/>
    <row r="933" ht="14.25" customHeight="1" s="54"/>
    <row r="934" ht="14.25" customHeight="1" s="54"/>
    <row r="935" ht="14.25" customHeight="1" s="54"/>
    <row r="936" ht="14.25" customHeight="1" s="54"/>
    <row r="937" ht="14.25" customHeight="1" s="54"/>
    <row r="938" ht="14.25" customHeight="1" s="54"/>
    <row r="939" ht="14.25" customHeight="1" s="54"/>
    <row r="940" ht="14.25" customHeight="1" s="54"/>
    <row r="941" ht="14.25" customHeight="1" s="54"/>
    <row r="942" ht="14.25" customHeight="1" s="54"/>
    <row r="943" ht="14.25" customHeight="1" s="54"/>
    <row r="944" ht="14.25" customHeight="1" s="54"/>
    <row r="945" ht="14.25" customHeight="1" s="54"/>
    <row r="946" ht="14.25" customHeight="1" s="54"/>
    <row r="947" ht="14.25" customHeight="1" s="54"/>
    <row r="948" ht="14.25" customHeight="1" s="54"/>
    <row r="949" ht="14.25" customHeight="1" s="54"/>
    <row r="950" ht="14.25" customHeight="1" s="54"/>
    <row r="951" ht="14.25" customHeight="1" s="54"/>
    <row r="952" ht="14.25" customHeight="1" s="54"/>
    <row r="953" ht="14.25" customHeight="1" s="54"/>
    <row r="954" ht="14.25" customHeight="1" s="54"/>
    <row r="955" ht="14.25" customHeight="1" s="54"/>
    <row r="956" ht="14.25" customHeight="1" s="54"/>
    <row r="957" ht="14.25" customHeight="1" s="54"/>
    <row r="958" ht="14.25" customHeight="1" s="54"/>
    <row r="959" ht="14.25" customHeight="1" s="54"/>
    <row r="960" ht="14.25" customHeight="1" s="54"/>
    <row r="961" ht="14.25" customHeight="1" s="54"/>
    <row r="962" ht="14.25" customHeight="1" s="54"/>
    <row r="963" ht="14.25" customHeight="1" s="54"/>
    <row r="964" ht="14.25" customHeight="1" s="54"/>
    <row r="965" ht="14.25" customHeight="1" s="54"/>
    <row r="966" ht="14.25" customHeight="1" s="54"/>
    <row r="967" ht="14.25" customHeight="1" s="54"/>
    <row r="968" ht="14.25" customHeight="1" s="54"/>
    <row r="969" ht="14.25" customHeight="1" s="54"/>
    <row r="970" ht="14.25" customHeight="1" s="54"/>
    <row r="971" ht="14.25" customHeight="1" s="54"/>
    <row r="972" ht="14.25" customHeight="1" s="54"/>
    <row r="973" ht="14.25" customHeight="1" s="54"/>
    <row r="974" ht="14.25" customHeight="1" s="54"/>
    <row r="975" ht="14.25" customHeight="1" s="54"/>
    <row r="976" ht="14.25" customHeight="1" s="54"/>
    <row r="977" ht="14.25" customHeight="1" s="54"/>
    <row r="978" ht="14.25" customHeight="1" s="54"/>
    <row r="979" ht="14.25" customHeight="1" s="54"/>
    <row r="980" ht="14.25" customHeight="1" s="54"/>
    <row r="981" ht="14.25" customHeight="1" s="54"/>
    <row r="982" ht="14.25" customHeight="1" s="54"/>
    <row r="983" ht="14.25" customHeight="1" s="54"/>
    <row r="984" ht="14.25" customHeight="1" s="54"/>
    <row r="985" ht="14.25" customHeight="1" s="54"/>
    <row r="986" ht="14.25" customHeight="1" s="54"/>
    <row r="987" ht="14.25" customHeight="1" s="54"/>
    <row r="988" ht="14.25" customHeight="1" s="54"/>
    <row r="989" ht="14.25" customHeight="1" s="54"/>
    <row r="990" ht="14.25" customHeight="1" s="54"/>
    <row r="991" ht="14.25" customHeight="1" s="54"/>
    <row r="992" ht="14.25" customHeight="1" s="54"/>
    <row r="993" ht="14.25" customHeight="1" s="54"/>
    <row r="994" ht="14.25" customHeight="1" s="54"/>
    <row r="995" ht="14.25" customHeight="1" s="54"/>
    <row r="996" ht="14.25" customHeight="1" s="54"/>
    <row r="997" ht="14.25" customHeight="1" s="54"/>
    <row r="998" ht="14.25" customHeight="1" s="54"/>
    <row r="999" ht="14.25" customHeight="1" s="54"/>
    <row r="1000" ht="14.25" customHeight="1" s="5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2026-09-24T17:55:24Z</dcterms:created>
  <dcterms:modified xsi:type="dcterms:W3CDTF">2026-10-02T02:39:56Z</dcterms:modified>
</cp:coreProperties>
</file>